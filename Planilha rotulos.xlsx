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emigbr-my.sharepoint.com/personal/flavio_baiao_cemig_com_br/Documents/Documentos/Sistema rotulos/"/>
    </mc:Choice>
  </mc:AlternateContent>
  <xr:revisionPtr revIDLastSave="32" documentId="11_AD4D361C20488DEA4E38A0D8A45955865ADEDD90" xr6:coauthVersionLast="47" xr6:coauthVersionMax="47" xr10:uidLastSave="{F9990217-9C6A-434D-B5FB-6F10E152A2D1}"/>
  <bookViews>
    <workbookView xWindow="20370" yWindow="-120" windowWidth="29040" windowHeight="15720" xr2:uid="{00000000-000D-0000-FFFF-FFFF00000000}"/>
  </bookViews>
  <sheets>
    <sheet name="Plan1" sheetId="1" r:id="rId1"/>
    <sheet name="Planilha1" sheetId="2" state="hidden" r:id="rId2"/>
  </sheets>
  <externalReferences>
    <externalReference r:id="rId3"/>
  </externalReferences>
  <definedNames>
    <definedName name="_xlnm._FilterDatabase" localSheetId="0" hidden="1">Plan1!$A$1:$T$259</definedName>
    <definedName name="_xlnm._FilterDatabase" localSheetId="1" hidden="1">Planilha1!$A$1:$A$11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59" i="1" l="1"/>
  <c r="S259" i="1"/>
  <c r="T258" i="1"/>
  <c r="S258" i="1"/>
  <c r="T257" i="1"/>
  <c r="S257" i="1"/>
  <c r="T256" i="1"/>
  <c r="S256" i="1"/>
  <c r="T255" i="1"/>
  <c r="S255" i="1"/>
  <c r="T254" i="1"/>
  <c r="S254" i="1"/>
  <c r="T253" i="1"/>
  <c r="S253" i="1"/>
  <c r="T252" i="1"/>
  <c r="S252" i="1"/>
  <c r="T251" i="1"/>
  <c r="S251" i="1"/>
  <c r="T250" i="1"/>
  <c r="S250" i="1"/>
  <c r="T249" i="1"/>
  <c r="S249" i="1"/>
  <c r="T248" i="1"/>
  <c r="S248" i="1"/>
  <c r="T247" i="1"/>
  <c r="S247" i="1"/>
  <c r="T246" i="1"/>
  <c r="S246" i="1"/>
  <c r="T245" i="1"/>
  <c r="S245" i="1"/>
  <c r="T244" i="1"/>
  <c r="S244" i="1"/>
  <c r="T243" i="1"/>
  <c r="S243" i="1"/>
  <c r="T242" i="1"/>
  <c r="S242" i="1"/>
  <c r="T241" i="1"/>
  <c r="S241" i="1"/>
  <c r="T240" i="1"/>
  <c r="S240" i="1"/>
  <c r="T239" i="1"/>
  <c r="S239" i="1"/>
  <c r="T238" i="1"/>
  <c r="S238" i="1"/>
  <c r="T237" i="1"/>
  <c r="S237" i="1"/>
  <c r="T236" i="1"/>
  <c r="S236" i="1"/>
  <c r="T235" i="1"/>
  <c r="S235" i="1"/>
  <c r="T234" i="1"/>
  <c r="S234" i="1"/>
  <c r="T233" i="1"/>
  <c r="S233" i="1"/>
  <c r="T232" i="1"/>
  <c r="S232" i="1"/>
  <c r="T231" i="1"/>
  <c r="S231" i="1"/>
  <c r="T230" i="1"/>
  <c r="S230" i="1"/>
  <c r="T229" i="1"/>
  <c r="S229" i="1"/>
  <c r="T228" i="1"/>
  <c r="S228" i="1"/>
  <c r="T227" i="1"/>
  <c r="S227" i="1"/>
  <c r="T226" i="1"/>
  <c r="S226" i="1"/>
  <c r="T225" i="1"/>
  <c r="S225" i="1"/>
  <c r="T224" i="1"/>
  <c r="S224" i="1"/>
  <c r="T223" i="1"/>
  <c r="S223" i="1"/>
  <c r="T222" i="1"/>
  <c r="S222" i="1"/>
  <c r="T221" i="1"/>
  <c r="S221" i="1"/>
  <c r="T220" i="1"/>
  <c r="S220" i="1"/>
  <c r="T219" i="1"/>
  <c r="S219" i="1"/>
  <c r="T218" i="1"/>
  <c r="S218" i="1"/>
  <c r="T217" i="1"/>
  <c r="S217" i="1"/>
  <c r="T216" i="1"/>
  <c r="S216" i="1"/>
  <c r="T215" i="1"/>
  <c r="S215" i="1"/>
  <c r="T214" i="1"/>
  <c r="S214" i="1"/>
  <c r="T213" i="1"/>
  <c r="S213" i="1"/>
  <c r="T212" i="1"/>
  <c r="S212" i="1"/>
  <c r="T211" i="1"/>
  <c r="S211" i="1"/>
  <c r="T210" i="1"/>
  <c r="S210" i="1"/>
  <c r="T209" i="1"/>
  <c r="S209" i="1"/>
  <c r="T208" i="1"/>
  <c r="S208" i="1"/>
  <c r="T207" i="1"/>
  <c r="S207" i="1"/>
  <c r="T206" i="1"/>
  <c r="S206" i="1"/>
  <c r="T205" i="1"/>
  <c r="S205" i="1"/>
  <c r="T204" i="1"/>
  <c r="S204" i="1"/>
  <c r="T203" i="1"/>
  <c r="S203" i="1"/>
  <c r="T202" i="1"/>
  <c r="S202" i="1"/>
  <c r="T201" i="1"/>
  <c r="S201" i="1"/>
  <c r="T200" i="1"/>
  <c r="S200" i="1"/>
  <c r="T199" i="1"/>
  <c r="S199" i="1"/>
  <c r="T198" i="1"/>
  <c r="S198" i="1"/>
  <c r="T197" i="1"/>
  <c r="S197" i="1"/>
  <c r="T196" i="1"/>
  <c r="S196" i="1"/>
  <c r="T195" i="1"/>
  <c r="S195" i="1"/>
  <c r="T194" i="1"/>
  <c r="S194" i="1"/>
  <c r="T193" i="1"/>
  <c r="S193" i="1"/>
  <c r="T192" i="1"/>
  <c r="S192" i="1"/>
  <c r="T191" i="1"/>
  <c r="S191" i="1"/>
  <c r="T190" i="1"/>
  <c r="S190" i="1"/>
  <c r="T189" i="1"/>
  <c r="S189" i="1"/>
  <c r="T188" i="1"/>
  <c r="S188" i="1"/>
  <c r="T187" i="1"/>
  <c r="S187" i="1"/>
  <c r="T186" i="1"/>
  <c r="S186" i="1"/>
  <c r="T185" i="1"/>
  <c r="S185" i="1"/>
  <c r="T184" i="1"/>
  <c r="S184" i="1"/>
  <c r="T183" i="1"/>
  <c r="S183" i="1"/>
  <c r="T182" i="1"/>
  <c r="S182" i="1"/>
  <c r="T181" i="1"/>
  <c r="S181" i="1"/>
  <c r="T180" i="1"/>
  <c r="S180" i="1"/>
  <c r="T179" i="1"/>
  <c r="S179" i="1"/>
  <c r="T178" i="1"/>
  <c r="S178" i="1"/>
  <c r="T177" i="1"/>
  <c r="S177" i="1"/>
  <c r="T176" i="1"/>
  <c r="S176" i="1"/>
  <c r="T175" i="1"/>
  <c r="S175" i="1"/>
  <c r="T174" i="1"/>
  <c r="S174" i="1"/>
  <c r="T173" i="1"/>
  <c r="S173" i="1"/>
  <c r="T172" i="1"/>
  <c r="S172" i="1"/>
  <c r="T171" i="1"/>
  <c r="S171" i="1"/>
  <c r="T170" i="1"/>
  <c r="S170" i="1"/>
  <c r="T169" i="1"/>
  <c r="S169" i="1"/>
  <c r="T168" i="1"/>
  <c r="S168" i="1"/>
  <c r="T167" i="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alcChain>
</file>

<file path=xl/sharedStrings.xml><?xml version="1.0" encoding="utf-8"?>
<sst xmlns="http://schemas.openxmlformats.org/spreadsheetml/2006/main" count="3918" uniqueCount="680">
  <si>
    <t>Grupo de Resíduos</t>
  </si>
  <si>
    <t>Descrição do Resíduo pelo Gerador</t>
  </si>
  <si>
    <t>Unidade de Medida</t>
  </si>
  <si>
    <t>Características do Resíduo</t>
  </si>
  <si>
    <t>Classificação NBR 10.004</t>
  </si>
  <si>
    <t>Cuidados Especiais</t>
  </si>
  <si>
    <t>Acondicionamento</t>
  </si>
  <si>
    <t>Rótulo de Risco</t>
  </si>
  <si>
    <t>Número de Risco</t>
  </si>
  <si>
    <t>Número da ONU</t>
  </si>
  <si>
    <t>Destinação Interna</t>
  </si>
  <si>
    <t>Disposição Final</t>
  </si>
  <si>
    <t>Nome apropriado para embarque</t>
  </si>
  <si>
    <t>Código SAP</t>
  </si>
  <si>
    <t>Descrição SAP</t>
  </si>
  <si>
    <t>Código IBAMA</t>
  </si>
  <si>
    <t>Descrição IBAMA</t>
  </si>
  <si>
    <t>Tecnologia</t>
  </si>
  <si>
    <t>Carga Máxima Permitida
por Veículo
(kg)</t>
  </si>
  <si>
    <t>Carga Máxima Permitida
Embalagem Interna</t>
  </si>
  <si>
    <t>01 Resíduos Especiais</t>
  </si>
  <si>
    <t>ACETATO DE ETILA</t>
  </si>
  <si>
    <t>kg</t>
  </si>
  <si>
    <t>Facilmente Inflamável. Irritante para os olhos.</t>
  </si>
  <si>
    <t>CLASSE I - PERIGOSO</t>
  </si>
  <si>
    <t>Manusear o material utilizando os EPIs.</t>
  </si>
  <si>
    <t>Bombona plástica</t>
  </si>
  <si>
    <t>Classe_03_Líquido_Inflamável</t>
  </si>
  <si>
    <t>CDA Igarapé</t>
  </si>
  <si>
    <t>Reutilização ou incineração</t>
  </si>
  <si>
    <t>RESÍDUO DE SOLVENTE ORGÂNICO</t>
  </si>
  <si>
    <t>Outros solventes, líquidos de lavagem e efluentes orgânicos</t>
  </si>
  <si>
    <t>Triagem e Transbordo</t>
  </si>
  <si>
    <t>ACETONA</t>
  </si>
  <si>
    <t xml:space="preserve">Muito volátil e inflamável. Reage com oxidantes. Perigos específicos: Pode causar danos ao sistema nervoso em uma superexposição. </t>
  </si>
  <si>
    <t>ÁCIDO CLORIDRICO</t>
  </si>
  <si>
    <t>Pode causar queimaduras graves na pele, olhos e mucosas. O vapor produzido é irritante. Altera o pH da água.</t>
  </si>
  <si>
    <t>Classe_08_Corrosivo</t>
  </si>
  <si>
    <t>RESÍDUO DE SOLUÇÃO ÁCIDA</t>
  </si>
  <si>
    <t>Outros ácidos</t>
  </si>
  <si>
    <t>ÁCIDO MURIATICO</t>
  </si>
  <si>
    <t>Tóxico - a inalação, ingestão ou contato da substância, poeira ou vapores com a pele ou olhos podem causar queimaduras, lesões graves ou morte. Material não combustível. Não queima, mas pode se decompor com o calor, produzindo vapores tóxicos ou corrosivos.</t>
  </si>
  <si>
    <t xml:space="preserve">Manter o recipiente adequadamente fechado, em lugar fresco, arejado, a temperatura ambiente e ao abrigo da luz. </t>
  </si>
  <si>
    <t>Incineração</t>
  </si>
  <si>
    <t>ÁCIDO CLORÍDRICO</t>
  </si>
  <si>
    <t>ÁCIDO SULFÚRICO</t>
  </si>
  <si>
    <t>Pode causar queimaduras graves na pele, olhos e mucosas. O vapor produzido é irritante.</t>
  </si>
  <si>
    <t>Eliminar fontes de ignição. O produto pode emanar vapores tóxicos em contato com fonte de calor.</t>
  </si>
  <si>
    <t>ÁCIDO SULFÚRICO COM MAIS DE 51% DE ÁCIDO</t>
  </si>
  <si>
    <t>ÁCIDO SULFÚRICO, com mais de 51% de ácido</t>
  </si>
  <si>
    <t>ÁCIDO SULFÚRICO  COM ATÉ 51% DE ÁCIDO</t>
  </si>
  <si>
    <t>ÁCIDO SULFÚRICO com até 51% de ácido</t>
  </si>
  <si>
    <t>ACIDULANTE PARA PISCINA</t>
  </si>
  <si>
    <t>Material não combustível. O produto não queima, mas pode se decompor quando aquecido e liberar gases corrosivos ou tóxicos. O recipiente pode explodir se aquecido.</t>
  </si>
  <si>
    <t>Eliminar fontes quentes e de ignição. Armazenar em local bem ventilado. Em caso de derramamento, absorver o produto derramado com areia ou outro material absorvente não combustível e colocar em recipientes para posterior descarte.</t>
  </si>
  <si>
    <t>SUBSTÂNCIA CORROSIVA</t>
  </si>
  <si>
    <t>06 Oleosos</t>
  </si>
  <si>
    <t>AGUA CONTAMINADA COM OLEO DE SEPARADOR ÁGUA/ÓLEO</t>
  </si>
  <si>
    <t>L</t>
  </si>
  <si>
    <t>Pode queimar, mas não se inflama de imediato. O recipiente pode explodir quando aquecido. A queima do produto libera gases tóxicos.</t>
  </si>
  <si>
    <t xml:space="preserve">Eliminar fontes quentes e de ignição. Armazenar em local bem ventilado. </t>
  </si>
  <si>
    <t>Tambor metálico de 200 L com tampa fixa homologado pelo Inmetro</t>
  </si>
  <si>
    <t>Classe_09_Substâncias_Diversas</t>
  </si>
  <si>
    <t>Rerrefino e regeneração</t>
  </si>
  <si>
    <t>SUBSTÂNCIA QUE APRESENTA RISCO PARA O MEIO AMBIENTE, LÍQUIDA, N.E.</t>
  </si>
  <si>
    <t>801908
pesquisar</t>
  </si>
  <si>
    <t>RESÍDUO OLEOSO DIVERSOS (ÓLEO MINERAL,ÓL</t>
  </si>
  <si>
    <t>ÁGUA COM ÓLEO PROVENIENTE DE SEPARADORES ÓLEO/ÁGUA</t>
  </si>
  <si>
    <t>AGUA CONTAMINADA COM OLEO</t>
  </si>
  <si>
    <t xml:space="preserve">Outras emulsões e misturas </t>
  </si>
  <si>
    <t>AGUARRAS</t>
  </si>
  <si>
    <t>Contém solventes orgânicos inflamáveis. Pode incendiar em contato com faíscas e chamas. Pode causar irritação na pele e nos olhos.</t>
  </si>
  <si>
    <t>Manter os recipientes bem fechados, protegidos do calor, e distantes de quaisquer fontes de ignição tais como faíscas elétricas e chamas. Não armazene com produtos corrosivos ou tóxicos.</t>
  </si>
  <si>
    <t xml:space="preserve">Tambor metálico de 200 L homologado pelo Inmetro. </t>
  </si>
  <si>
    <t>Incineração ou coprocessamento</t>
  </si>
  <si>
    <t>LÍQUIDO INFLAMÁVEL N.E.</t>
  </si>
  <si>
    <t>ALCOOL BUTILICO NORMAL</t>
  </si>
  <si>
    <t>Substância inflamável. Nocivo por inalação. Conservar longe de fontes de ignição.</t>
  </si>
  <si>
    <t>ALCOOL ETÍLICO</t>
  </si>
  <si>
    <t>Facilmente inflamável</t>
  </si>
  <si>
    <t>ETANOL (ÁLCOOL ETÍLICO)</t>
  </si>
  <si>
    <t>ALCOOL ISOPROPÍLICO</t>
  </si>
  <si>
    <t>Vapores do produto no ar tornam o ambiente extremamente explosivo e tóxico.</t>
  </si>
  <si>
    <t>Tambor de aço carbono de 200 L homologado pelo Inmetro, bombona de polietileno de alta densidade de 20 e 50 litros</t>
  </si>
  <si>
    <t>ISOPROPANOL (ÁLCOOL ISOPROPÍLICO)</t>
  </si>
  <si>
    <t>AMIANTO</t>
  </si>
  <si>
    <t>A exposição ao amianto crisotila aumenta os riscos de asbestose e câncer de pulmão.</t>
  </si>
  <si>
    <t>Armazenar de forma a evitar o acúmulo de água.</t>
  </si>
  <si>
    <t>Tambor metálico de 200 L homologado pelo Inmetro ou engradado de madeira</t>
  </si>
  <si>
    <t>Aterro Classe I</t>
  </si>
  <si>
    <t>AMIANTOS, CRISOTILIA</t>
  </si>
  <si>
    <t>RESÍDUO DE AMIANTO</t>
  </si>
  <si>
    <t>Equipamento fora de uso contendo amianto livre</t>
  </si>
  <si>
    <t>12 Resíduos com Mercúrio</t>
  </si>
  <si>
    <t>AMPOLAS COM MERCURIO</t>
  </si>
  <si>
    <t>pç</t>
  </si>
  <si>
    <t>Tóxico</t>
  </si>
  <si>
    <t>Evite qualquer contato com a pele. Pode ser fatal se inalado ou aborvido pela pele.</t>
  </si>
  <si>
    <t>Tambor metálico de 200 L homologado pelo Inmetro ou caixa de papelão revestidos com saco plástico de boa resistência</t>
  </si>
  <si>
    <t>Classe_06_Tóxico</t>
  </si>
  <si>
    <t>Descontaminação e reciclagem</t>
  </si>
  <si>
    <t>MERCÚRIO COMPOSTO, LÍQUIDO, N.E.</t>
  </si>
  <si>
    <t>RESÍDUO/COMPONENTE C/MERCÚRIO (EXCLUI LÂMPADA)</t>
  </si>
  <si>
    <t>Vidro, plástico e madeira, misturados ou não, contendo ou contaminados com substâncias perigosas</t>
  </si>
  <si>
    <t>05 Madeira</t>
  </si>
  <si>
    <t>APARAS DE MADEIRA</t>
  </si>
  <si>
    <t>Não aplicável</t>
  </si>
  <si>
    <t>CLASSE II A - NÃO-PERIGOSO - NÃO INERTE</t>
  </si>
  <si>
    <t>Caçamba, cesto, engradados, tambor metálico.</t>
  </si>
  <si>
    <t>Reciclagem</t>
  </si>
  <si>
    <t>-</t>
  </si>
  <si>
    <t>SUCATA,MÓVEIS DE MADEIRA,DIVERSOS.</t>
  </si>
  <si>
    <t>Madeira</t>
  </si>
  <si>
    <t>Alienação/ Reciclagem</t>
  </si>
  <si>
    <t xml:space="preserve">14 Sucatas </t>
  </si>
  <si>
    <t>ARRUELAS PLASTICAS, PARAFUSOS E COBRE</t>
  </si>
  <si>
    <t>Tambor metálico de 200 L</t>
  </si>
  <si>
    <t>Alienação/Reciclagem</t>
  </si>
  <si>
    <t>SUCATA,COBRE(EXCLUI CABOS E FIOS).</t>
  </si>
  <si>
    <t>Componentes retirados de equipamento fora de uso não abrangidos em 16 02 15</t>
  </si>
  <si>
    <t>ARTIGOS QUE CONTEM BIFENILAS POLICLORADAS (PCB)</t>
  </si>
  <si>
    <t xml:space="preserve"> Incineração</t>
  </si>
  <si>
    <t>BIFENILAS POLICLORADAS, SÓLIDAS</t>
  </si>
  <si>
    <t>RESÍDUO CONTAMINADO POR PCB</t>
  </si>
  <si>
    <t>Solos e rochas contendo contaminados com bifenilas policloradas</t>
  </si>
  <si>
    <t>ASCAREL</t>
  </si>
  <si>
    <t>BIFENILAS POLICLORADAS, LÍQUIDAS</t>
  </si>
  <si>
    <t>Óleos de isolamento térmico, de refrigeração e de transmissão de calor usados,
fluidos dielétricos e resíduos contaminados com bifenilas policloradas (PCB)</t>
  </si>
  <si>
    <t>04 EPIs e Acessórios</t>
  </si>
  <si>
    <t>AVENTAL DE COURO</t>
  </si>
  <si>
    <t>Apresenta concentrações significativas de cromo total, manganês e ferro.</t>
  </si>
  <si>
    <t>Esses resíduos deverão ser segregados e acondicionados em caixas de papelão em bom estado, ou em tambores metálicos de 200 L (duzentos litros) homologados pelo Inmetro, ou em big-bags.</t>
  </si>
  <si>
    <t>Coprocessamento</t>
  </si>
  <si>
    <t>SUBSTÂNCIA QUE APRESENTA RISCO PARA O MEIO AMBIENTE, SÓLIDA, N.E.</t>
  </si>
  <si>
    <t>RESÍDUO EPI/ EPC/ UNIFORMES</t>
  </si>
  <si>
    <t>Absorventes, materiais filtrantes, panos de limpeza e vestuário de proteção não abrangidos em 15 02 02 -</t>
  </si>
  <si>
    <t>BASTAO DE LINHA VIVA</t>
  </si>
  <si>
    <t>Apresenta concentração significativa de chumbo.</t>
  </si>
  <si>
    <t xml:space="preserve">Esses resíduos deverão ser segregados e amarrados com uma corda, não necessitando de serem acondicionados em embalagens específicas.  </t>
  </si>
  <si>
    <t>08 Baterias e Pilhas</t>
  </si>
  <si>
    <t>BATERIA 9V</t>
  </si>
  <si>
    <t>O eletrólito está na forma de pasta ou gel.</t>
  </si>
  <si>
    <t>Não exponha  baterias ao calor excessivo ou à umidade. Elas podem vazar ou explodir</t>
  </si>
  <si>
    <t>Tambor metálico de 200 L homologado pelo Inmetro ou em caixa de papelão revestida com saco plástico</t>
  </si>
  <si>
    <t>BATERIAS elétricas, SECAS, CONTENDO HIDRÓXIDO DE POTÁSSIO SÓLIDO</t>
  </si>
  <si>
    <t>BATERIA, ALCALINA, 9V, RETANGULAR
REF 80673800,DURACELL, RAYOVAC; PANASONIC</t>
  </si>
  <si>
    <t>BATERIA DE CELULAR</t>
  </si>
  <si>
    <t>Tambor metálico de 200 L homologado pelo Inmetro ou caixa de papelão em bom estado</t>
  </si>
  <si>
    <t>Classe_09_Substâncias_Diversas_P</t>
  </si>
  <si>
    <t>RESÍDUO DE PILHA/BATERIA PORTÁTIL.</t>
  </si>
  <si>
    <t>Bateria e acumuladores elétricos de níquelcádmio e seus resíduos</t>
  </si>
  <si>
    <t>BATERIA DE LANTERNA</t>
  </si>
  <si>
    <t>BATERIA, 6V, P/LANTERNA DESCARTÁVEL
FAB RAYOVAC MOD.941, EVEREADY MOD.1209.</t>
  </si>
  <si>
    <t>BATERIA DE MAQUINA FOTOGRAFICA</t>
  </si>
  <si>
    <t>BATERIA DE NOTEBOOK</t>
  </si>
  <si>
    <t>BATERIA DE TELEFONE SEM FIO</t>
  </si>
  <si>
    <t>BATERIA INTEGRANTE DE CIRCUITO ELETRO-ELETRONICO</t>
  </si>
  <si>
    <t>SUCATA,BATERIA.</t>
  </si>
  <si>
    <t xml:space="preserve"> Bateria e acumuladores elétricos à base de chumbo e seus resíduos, incluindo os plásticos provenientes da carcaça externa da bateria</t>
  </si>
  <si>
    <t>BATERIA NI-CD</t>
  </si>
  <si>
    <t>Produto tóxico. O recipiente pode explodir se aquecido.</t>
  </si>
  <si>
    <t>As baterias e as células que a compõe não devem ser abertas, desmontadas, esmagadas, queimadas, ou expostas a altas temperaturas</t>
  </si>
  <si>
    <t>BATERIA QUEBRADA CHUMBO-ACIDO E COM RESTO DE LIQUIDO</t>
  </si>
  <si>
    <t>Contém chumbo e solução ácida. Material não combustível. O produto em si não queima mas pode se decompor quando aquecido, liberando gases corrosivos e/ou tóxicos.</t>
  </si>
  <si>
    <t>Eliminar as fontes de ignição. Em caso de vazamento absorva ou cubra com terra, areia seca ou outro material não combustível e coloque em recipiente. Baterias com vazamento deverão ser acondicionadas em um tambor metálico revestido com um saco plástico de alta resistência.</t>
  </si>
  <si>
    <t>Tambor metálico de 200 L homologado pelo Inmetro revestido com saco plástico de alta densidade.</t>
  </si>
  <si>
    <t>BATERIA QUEBRADA CHUMBO-ACIDO E SEM RESTO DE LIQUIDO</t>
  </si>
  <si>
    <t>Engradado de madeira</t>
  </si>
  <si>
    <t>BATERIAS CONTENDO SODIO</t>
  </si>
  <si>
    <t>Emana gases inflamáveis em contato com a água.</t>
  </si>
  <si>
    <t>Não exponha a bateria ao calor excessivo ou à umidade. Elas podem imflamar e produzir gases tóxicos.</t>
  </si>
  <si>
    <t>Classe_04_Perigoso_Molhado</t>
  </si>
  <si>
    <t>SUBSTÂNCIA QUE, EM CONTATO COM A ÁGUA, EMITEM GASES INFLAMÁVEIS</t>
  </si>
  <si>
    <t>BATERIAS DE LITIO</t>
  </si>
  <si>
    <t xml:space="preserve">BATERIAS DE LÍTIO METÁLICO </t>
  </si>
  <si>
    <t>BATERIAS E PILHAS</t>
  </si>
  <si>
    <t>RESÍDUO DE PILHA/BATERIA PORTÁTIL</t>
  </si>
  <si>
    <t>BATERIAS ELETRICAS SECAS, CONTENDO HIDROXIDO DE POTASSIO SOLIDO</t>
  </si>
  <si>
    <t xml:space="preserve">O recipiente pode explodir se aquecido. </t>
  </si>
  <si>
    <t>Não exponha a bateria ao calor excessivo. O contato com a substância fundida pode causar queimaduras  graves na pele e nos olhos.</t>
  </si>
  <si>
    <t>BATERIAS ELETRICAS UMIDAS, A PROVA DE VAZAMENTO (COM SOLUCAO)</t>
  </si>
  <si>
    <t>BATERIAS ELETRICAS, SOLUCOES ALCALINAS</t>
  </si>
  <si>
    <t>BATERIAS ELETRICAS, UMIDAS, CONTENDO SOLUCOES ACIDAS</t>
  </si>
  <si>
    <t>BAYGON AEROSSOL</t>
  </si>
  <si>
    <t>O recipiente pode explodir se aquecido. Vapores podem causar tonturas ou asfixia de forma inesperada.</t>
  </si>
  <si>
    <t xml:space="preserve">Não perfurar o vasilhame. </t>
  </si>
  <si>
    <t>Classe_02_Gás_Inflamável</t>
  </si>
  <si>
    <t>GÁS INFLAMÁVEL</t>
  </si>
  <si>
    <t>RESÍDUO CLASSE I (TINTA,VERNIZ,PRODUTO QUÍMICO VENCIDO EMBALAGEM SPRAY,INSETICIDA)</t>
  </si>
  <si>
    <t>BENZENO</t>
  </si>
  <si>
    <t>Libera vapor irritante</t>
  </si>
  <si>
    <t>SOLVENTE ORGÂNICO</t>
  </si>
  <si>
    <t>BENZINA RETIFICADA</t>
  </si>
  <si>
    <t>Extremamente inflamável. Tóxico para os organismos aquáticos, podendo causar efeitos nefastos a longo prazo no ambiente aquático. Nocivo pode causar danos nos pulmões se ingerido. Pode provocar secura da pele ou fissuras, por exposição repetida. Pode provocar sonolência e vertigens, por inalação dos vapores.</t>
  </si>
  <si>
    <t>Reutilização ou coprocessameento</t>
  </si>
  <si>
    <t>RESÍDUO SOLVENTE ORGÂNICO.</t>
  </si>
  <si>
    <t>BICARBONATO DE SODIO</t>
  </si>
  <si>
    <t>Em grande concentração pode ser prejudicial a vida aquática. Aumenta a alcalinade da água.</t>
  </si>
  <si>
    <t>Tambor metálico de 200 L revestido com saco plástico de alta resistência.</t>
  </si>
  <si>
    <t>Incineração ou reaproveitamento. Utilizar para aumentar o pH de outros resíduos.</t>
  </si>
  <si>
    <t>BIFENILAS POLICLORADAS (ASCAREL)</t>
  </si>
  <si>
    <t>RESÍDUO ÓLEO MINERAL ISOLANTE CONTAMINADO C/PCB (ASCAREL).</t>
  </si>
  <si>
    <t>BLOCO OXIDO DE ZINCO</t>
  </si>
  <si>
    <t>Apresentam concentrações de chumbo que o conferem periculosidade</t>
  </si>
  <si>
    <t>SUBSTÂNCIAS TÓXICAS</t>
  </si>
  <si>
    <t>BOLSA DE FERRAMENTAS DE COURO</t>
  </si>
  <si>
    <t>BOLSA PARA PRIMEIROS SOCORROS</t>
  </si>
  <si>
    <t>Engradado de madeira ou caixa de papelão em bom estado</t>
  </si>
  <si>
    <t>BOLSAS DE COURO</t>
  </si>
  <si>
    <t>Apresenta concentrações significativas de cromo.</t>
  </si>
  <si>
    <t>BORRA OLEOSA</t>
  </si>
  <si>
    <t>BORRACHA CONTAMINADA</t>
  </si>
  <si>
    <t>BRITA CONTAMINADA COM OLEO</t>
  </si>
  <si>
    <t>RESÍDUO SÓLIDO S/ PARTES METÁLICAS IMPREGNADO C/ÓLEO</t>
  </si>
  <si>
    <t>Solos e rochas contendo outras substâncias perigosas</t>
  </si>
  <si>
    <t>15 Sucatas Metálicas</t>
  </si>
  <si>
    <t>CABOS E FIOS</t>
  </si>
  <si>
    <t>Armazenar de forma adequada para evitar o acúmulo de água.</t>
  </si>
  <si>
    <t>Cabos não abrangidos em 17 04 10</t>
  </si>
  <si>
    <t>CABOS E FIOS DE ALUMINIO</t>
  </si>
  <si>
    <t>De acordo com o tipo de cabo</t>
  </si>
  <si>
    <t xml:space="preserve"> Alumínio</t>
  </si>
  <si>
    <t>CAIXA D'AGUA DE AMIANTO</t>
  </si>
  <si>
    <t xml:space="preserve"> Utilizar lonas plásticas</t>
  </si>
  <si>
    <t xml:space="preserve">AMIANTOS, CRISOTILIA </t>
  </si>
  <si>
    <t>CALCADOS DE COURO</t>
  </si>
  <si>
    <t>CALCADOS DE SEGURANCA</t>
  </si>
  <si>
    <t>CALCAS E CAMISAS DE UNIFORME</t>
  </si>
  <si>
    <t>CLASSE II B - NÃO-PERIGOSO - INERTE</t>
  </si>
  <si>
    <t>Esses resíduos deverão ser segregados e acondicionados em caixas de papelão em bom estado, ou em tambores de 200 L (duzentos litros), ou em big-bags.</t>
  </si>
  <si>
    <t>02 Borracha e Pneus</t>
  </si>
  <si>
    <t>CAMARA DE AR DE PNEU</t>
  </si>
  <si>
    <t>Tambor metálico de 200 L ou engradado de madeira</t>
  </si>
  <si>
    <t>SUCATA, CAMARA AR</t>
  </si>
  <si>
    <t>Componentes não anteriormente especificados.</t>
  </si>
  <si>
    <t>CANTIL DE ALUMÍNIO</t>
  </si>
  <si>
    <t>SUCATA,ALUMINIO,(EXCLUI CABOS E FIOS).</t>
  </si>
  <si>
    <t>CAPA DE CHUVA</t>
  </si>
  <si>
    <t>Apresenta concentração significativa de cromo, chumbo e cádmio.</t>
  </si>
  <si>
    <t>CAPACETE DE SEGURANCA COM JUGULAR</t>
  </si>
  <si>
    <t>CAPACETES E CONES DE SINALIZACAO</t>
  </si>
  <si>
    <t>Caixa de papelão</t>
  </si>
  <si>
    <t>CAPACITOR COM ASCAREL</t>
  </si>
  <si>
    <t>Descontaminação e incineração</t>
  </si>
  <si>
    <t>RESÍDUO EQUIPAMENTO CONTAMINADO C/PCB (ASCAREL).</t>
  </si>
  <si>
    <t>Transformadores, capacitores e demais equipamentos elétricos contendo PCB</t>
  </si>
  <si>
    <t>CAPACITOR SEM ASCAREL</t>
  </si>
  <si>
    <t>03 Eletroeletrônico</t>
  </si>
  <si>
    <t>CARTUCHOS DE IMPRESSORA</t>
  </si>
  <si>
    <t>Pç</t>
  </si>
  <si>
    <t>SUCATA,MATERIAL INFORMATICA.</t>
  </si>
  <si>
    <t xml:space="preserve">Equipamento fora de uso não abrangido em 16 02 09 a 16 02 13 </t>
  </si>
  <si>
    <t>CARTUCHOS, TONNER E FITAS DE IMPRESSORA</t>
  </si>
  <si>
    <t>RESÍDUO DE TONNER, FITA P/ IMPRESSORA, CARTUCHO, CD'S FITAS K7 E FITAS VHS</t>
  </si>
  <si>
    <t>Resíduos de tintas e vernizes contendo solventes orgânicos ou outras substâncias
perigosas</t>
  </si>
  <si>
    <t>CATALISADOR ORT</t>
  </si>
  <si>
    <t>Altamente inflamável - pode inflamar-se facilmente com calor, fagulhas ou chamas. O recipiente pode explodir se aquecido. Tóxico - pode ser fatal se inalado, ingerido ou absorvido pela pele.</t>
  </si>
  <si>
    <t>CINTURAO DE SEGURANCA TIPO PARA QUEDISTA</t>
  </si>
  <si>
    <t>CLORETO DE LITIO</t>
  </si>
  <si>
    <t>Substância Irritante. Sólido não inflamável.  Sólido na forma de cristais incolor ou pó branco.</t>
  </si>
  <si>
    <t>CLORETO DE LÍTICO, PA/COMERCIAL</t>
  </si>
  <si>
    <t>CLOROFÓRMIO</t>
  </si>
  <si>
    <t>Nocivo por ingestão. Irritante para a pele. Possibilidade de efeitos cancerígenos. Nocivo: risco de efeitos graves para a saúde em caso de exposição prolongada por inalação e ingestão.</t>
  </si>
  <si>
    <t>COBERTURA PARA CONDUTOR</t>
  </si>
  <si>
    <t>09 Plasticos/Polímeros</t>
  </si>
  <si>
    <t>COBERTURA POLIMERICA PARA RAIOS</t>
  </si>
  <si>
    <t>Engradado de madeira, tambor metálico.</t>
  </si>
  <si>
    <t>PARA RAIOS POLIMÉRICO MT A RECUPERAR</t>
  </si>
  <si>
    <t>COMPUTADORES</t>
  </si>
  <si>
    <t>Armazenar em local coberto.</t>
  </si>
  <si>
    <t>Reutilização e reciclagem</t>
  </si>
  <si>
    <t>CONE DE BORRACHA</t>
  </si>
  <si>
    <t>Reciclagem ou coprocessamento</t>
  </si>
  <si>
    <t>RESÍDUO EPI/EPC/UNIFORMES</t>
  </si>
  <si>
    <t>CONECTOR PERFURACAO</t>
  </si>
  <si>
    <t>Plástico impregnado com pasta antióxido</t>
  </si>
  <si>
    <t xml:space="preserve">Caixa de papelão ou tambor de 200 L </t>
  </si>
  <si>
    <t>CONEXÕES,DIVERSAS,EM FASE CLASSIFICAÇÃO.</t>
  </si>
  <si>
    <t>Sucatas metálicas ferrosas</t>
  </si>
  <si>
    <t>COURO (LUVAS, CALCADOS E BOLSAS)</t>
  </si>
  <si>
    <t>CRACHA</t>
  </si>
  <si>
    <t xml:space="preserve">Caixa de papelão </t>
  </si>
  <si>
    <t>SUGESTÃO: AGREGAR COM EPI PELA LOGO CEMIG. NÃO TEMOS LEMBRANÇAS DE RECEBER ESSE MATERIAL AQUI NO CDA.</t>
  </si>
  <si>
    <t>CRUZETA DE MADEIRA</t>
  </si>
  <si>
    <t>Armazenamento</t>
  </si>
  <si>
    <t xml:space="preserve"> CRUZETA,MADEIRA, A RECUPERAR</t>
  </si>
  <si>
    <t>DESENGRAXANTE AUTOMOTIVO</t>
  </si>
  <si>
    <t>Líquido inflamável</t>
  </si>
  <si>
    <t>DESENGRIPANTE SPRAY</t>
  </si>
  <si>
    <t>Produto inflamável e sob pressão.</t>
  </si>
  <si>
    <t>DILUENTE PARA ESMALTE</t>
  </si>
  <si>
    <t>Diluente a base de solventes, aromático, álcoois e ésteres. Produto inflamável.</t>
  </si>
  <si>
    <t xml:space="preserve">Evitar contato com a pele, mucosas e olhos. Armazenar em área ventilada, longe do calor, fontes ignição e agentes oxidantes. </t>
  </si>
  <si>
    <t>DISPOSITIVO ANTI-QUEDA (LINHA DE VIDA)</t>
  </si>
  <si>
    <t>ELETROLITO DE BATERIA CHUMBO-ACIDO</t>
  </si>
  <si>
    <t>Pode causar queimaduras na pele ou olhos. Material não combustível. A reação com a água ou umidade do ar  libera gases tóxicos, corrosivos ou inflamáveis. A substância reage com a água  podendo liberar gases inflamáveis, corrosivos ou tóxicos.</t>
  </si>
  <si>
    <t>Evite contato com a substância. No caso de vazamento eliminar as fontes de ignição . Não toque nos recipientes danificados ou no material derramado se o uso de vestimentos de proteção adequadas. Absorva o material derramado com terra seca ou outro material não combustível, recolha o material derramado e acondicione em recipiente plástico com tampa para posterior descarte.</t>
  </si>
  <si>
    <t>Neutralização e incineração</t>
  </si>
  <si>
    <t>FLUIDO ÁCIDO PARA BATERIAS</t>
  </si>
  <si>
    <t>RESÍDUO SOLUÇÃO ÁCIDA.</t>
  </si>
  <si>
    <t>EMBALAGEM VAZIA DE OLEO (MINERAL OU SINTETICO - PARA MOTORES DE VEICULOS)</t>
  </si>
  <si>
    <t>Embalagens com óleo não serão aceitas. É necessária a retirada do óleo armazenado nas embalagens.</t>
  </si>
  <si>
    <t>Esses resíduos deverão ser segregados e armazeandos em tambores metálicos de 200 L homologados pelo Inmetro.</t>
  </si>
  <si>
    <t>Componentes perigosos não abrangidos em 16 01 07 a 16 01 11, 16 01 13 e 16
01 14</t>
  </si>
  <si>
    <t>EMBALAGEM VAZIA DE SOLVENTE</t>
  </si>
  <si>
    <t>EMBALAGENS CONTAMINADAS COM ASCAREL</t>
  </si>
  <si>
    <t>Kg</t>
  </si>
  <si>
    <t>RESÍDUO CONTAMINADO C/PCB (ASCAREL).</t>
  </si>
  <si>
    <t>EMBALAGENS DE AEROSSOL</t>
  </si>
  <si>
    <t xml:space="preserve">Não  perfure o vasilhame. </t>
  </si>
  <si>
    <t>Descontaminação e reciclagem ou incineração</t>
  </si>
  <si>
    <t>07 Papel e Papelão</t>
  </si>
  <si>
    <t>EMBALAGENS DE PAPELAO</t>
  </si>
  <si>
    <t>Armazenar em local seco e coberto.</t>
  </si>
  <si>
    <t>Caçamba ou Tambor metálico de 200 L, engradado de madeira, engradado de metal.</t>
  </si>
  <si>
    <t>RESÍDUO DE PAPEL/PAPELÃO EM GERAL</t>
  </si>
  <si>
    <t>Resíduos da triagem de papel e papelão destinado a reciclagem</t>
  </si>
  <si>
    <t>EMBALAGENS VAZIAS DE PESTICIDAS</t>
  </si>
  <si>
    <t>Tóxico. Irritante para a pele. Irritante para os olhos. Venenoso, se ingerido</t>
  </si>
  <si>
    <t>Usar luvas, botas e roupas de borracha butílica ou viton e máscara facial panorama, com filtro contra vapores orgânicos.</t>
  </si>
  <si>
    <t>ENTULHOS DE OBRA CIVIL</t>
  </si>
  <si>
    <t>Caçamba ou Tambor metálico de 200 L</t>
  </si>
  <si>
    <t>No local de origem</t>
  </si>
  <si>
    <t>Aterro Sanitário</t>
  </si>
  <si>
    <t>EPI e EPC</t>
  </si>
  <si>
    <t>Esses resíduos deverão ser segregados e acondicionados em caixas de papelão em bom estado, ou em tambores de 200 L, ou em big-bags.</t>
  </si>
  <si>
    <r>
      <t>EQUIPAMENTOS CONTENDO SF</t>
    </r>
    <r>
      <rPr>
        <vertAlign val="subscript"/>
        <sz val="9"/>
        <rFont val="Arial"/>
        <family val="2"/>
      </rPr>
      <t>6</t>
    </r>
  </si>
  <si>
    <t>O recipiente pode explodir se aquecido. Cilindros rompidos podem se projetar. Vapores podem causar tonturas ou asfixia de forma inesperada. MS/LA não recebe equipamentos contendo SF6. Os equipamentos são alienados após a retirada do gás.</t>
  </si>
  <si>
    <t>Classe_02_Gás_Não_Tóxico</t>
  </si>
  <si>
    <t>GÁS NÃO-INFLAMÁVEL, NÃO TÓXICO</t>
  </si>
  <si>
    <t>SUCATA,CHAVE,INTERRUPTORA,FACA,15 A 24,2KV,À RECUPERAR.</t>
  </si>
  <si>
    <t>EQUIPAMENTOS DE MEDICAO COM MERCURIO</t>
  </si>
  <si>
    <t>Engradado de madeira, se o equipamento não apresentar risco de vazamento. Tambor metálico de 200 L homologado pelo Inmetro revestido com saco plático de boa resistência se o resíduo apresentar risco de vazamento.</t>
  </si>
  <si>
    <t>MERCÚRIO CONTIDO EM ARTIGOS MANUFATURADOS</t>
  </si>
  <si>
    <t>EQUIPAMENTOS DE PROTECAO INDIVIDUAL E COLETIVA</t>
  </si>
  <si>
    <t>ESCOVA ACO/FIBRA</t>
  </si>
  <si>
    <t>Tambor metálico de 200 L ou caixa de papelão em bom estado</t>
  </si>
  <si>
    <t>ESCOVA DE GRAFITE COM RABICHO DE COBRE</t>
  </si>
  <si>
    <t>RESÍDUO ESCOVA GRAFITE</t>
  </si>
  <si>
    <t>ESFERAS DE SINALIZACAO</t>
  </si>
  <si>
    <t>Coprocessamento ou Aterro classe II</t>
  </si>
  <si>
    <t>ESMALTE SINTETICO VENCIDO</t>
  </si>
  <si>
    <t>Pode inflamar-se facilmente pelo calor, fagulhas ou chamas.</t>
  </si>
  <si>
    <t>Recuperação ou incineração</t>
  </si>
  <si>
    <t>ESPACADORES (CAVALO MARINHO)</t>
  </si>
  <si>
    <t>ETER DE PETROLEO</t>
  </si>
  <si>
    <t>DERIVADOS DE PETRÓLEO, N.E</t>
  </si>
  <si>
    <t>FERRAGENS DIVERSAS</t>
  </si>
  <si>
    <t>SUCATA, FERRO</t>
  </si>
  <si>
    <t>Ferro e aço</t>
  </si>
  <si>
    <t>FIBRA DE VIDRO</t>
  </si>
  <si>
    <t>Aterro Classe II</t>
  </si>
  <si>
    <t>RESÍDUO DE FIBRA DE VIDRO E LÃ DE VIDRO</t>
  </si>
  <si>
    <t xml:space="preserve"> Resíduos de materiais fibrosos à base de vidro</t>
  </si>
  <si>
    <t>FILTRO DE OLEO</t>
  </si>
  <si>
    <t>Tambor metálico de 200 L homologado pelo Inmetro revestido com saco plástico de alta resistência.</t>
  </si>
  <si>
    <t>Outros resíduos não anteriormente especificados</t>
  </si>
  <si>
    <t>FILTRO QUIMICO</t>
  </si>
  <si>
    <t>Material compostos por carvão, poliéster e a carcaça de alumínio.</t>
  </si>
  <si>
    <t>FITAS DE IMPRESSORA, CD'S FITAS K7 E VHS</t>
  </si>
  <si>
    <t>Armazenar em local bem ventilado.</t>
  </si>
  <si>
    <t>GASOLINA</t>
  </si>
  <si>
    <t>RESÍDUO DE COMBUSTÍVEIS (GASOLINA)</t>
  </si>
  <si>
    <t>Outros combustíveis (incluindo misturas)</t>
  </si>
  <si>
    <t>GAXETAS COM AMIANTO</t>
  </si>
  <si>
    <t>Manusear de forma a não permitir a emissão de particulados.</t>
  </si>
  <si>
    <t xml:space="preserve">Aterro Industrial </t>
  </si>
  <si>
    <t>HTH ELEVADOR DE ALCALINIDADE</t>
  </si>
  <si>
    <t>10 Porcelana</t>
  </si>
  <si>
    <t>ISOLADOR DE PORCELANA</t>
  </si>
  <si>
    <t>SUCATA,ISOLADOR CASTANHA,PINO OU ROLDANA</t>
  </si>
  <si>
    <t xml:space="preserve">Materiais de isolamento não abrangidos em 17 06 01 e 17 06 03 </t>
  </si>
  <si>
    <t>16 Vidros</t>
  </si>
  <si>
    <t>ISOLADOR DE VIDRO</t>
  </si>
  <si>
    <t>ISOLADOR,DISCO,GARFO-OLHAL,VIDRO/PORCELA</t>
  </si>
  <si>
    <t>ISOLADORES</t>
  </si>
  <si>
    <t>ISOPOR</t>
  </si>
  <si>
    <t>NÃO HÁ</t>
  </si>
  <si>
    <t>LA DE VIDRO</t>
  </si>
  <si>
    <t>LAMPADA DE ILUMINACAO PUBLICA QUEBRADA</t>
  </si>
  <si>
    <t>Evite qualquer contato com a pele. Os efeitos do contato ou da inalação podem não ser sentidos de imediato.</t>
  </si>
  <si>
    <t>RESÍDUO SUCATA,BOQUILHA(BASE/CASQUILHO),P/LÂMPADA.</t>
  </si>
  <si>
    <t>Mistura de sucatas</t>
  </si>
  <si>
    <t>LAMPADA DE ILUMINACAO PUBLICA QUEIMADA</t>
  </si>
  <si>
    <t>Acondicionadas nas embalagens das lâmpadas novas. As lâmpadas embaladas deverão ser recolhidas e acondicionadas em caixa de papelão, em bom estado.</t>
  </si>
  <si>
    <t>RESÍDUO LÂMPADA,DESCARGA,VM,VS,MISTA,USADA.</t>
  </si>
  <si>
    <t xml:space="preserve">Lâmpadas fluorescentes, de vapor de sódio e mercúrio e de luz mista </t>
  </si>
  <si>
    <t>LAMPADAS CONTENDO MERCURIO</t>
  </si>
  <si>
    <t xml:space="preserve">Não acondicionar no mesmo tambor, produtos incompatíveis, que possam interagir e provocar reações explosivas, combustão ou emissões tóxicas. </t>
  </si>
  <si>
    <t>LAMPADAS DE LED</t>
  </si>
  <si>
    <t>Tambor metálico de 200 L revestido com saco plástico de alta resistência ou nas caixas originais.</t>
  </si>
  <si>
    <t>RESÍDUO LÂMPADA DE LED</t>
  </si>
  <si>
    <t xml:space="preserve">Lâmpadas </t>
  </si>
  <si>
    <t>LAMPADAS FLUORESCENTES QUEBRADAS</t>
  </si>
  <si>
    <t xml:space="preserve">Evite qualquer contato com a pele Os efeitos do contato ou da inalação podem não ser sentidos de imediato.  </t>
  </si>
  <si>
    <t>LAMPADAS FLUORESCENTES QUEIMADAS</t>
  </si>
  <si>
    <t>LAMPADAS INCANDESCENTES USADAS</t>
  </si>
  <si>
    <t>RESÍDUO LÂMPADA INCANDESCENTE QUEIMADA</t>
  </si>
  <si>
    <t>LATA DE TINTA CONTENDO BORRA DE TINTA A BASE DE SOLVENTE</t>
  </si>
  <si>
    <t>TINTA</t>
  </si>
  <si>
    <t>LATA VAZIA CONTENDO FILME DE TINTA SECA A BASE DE AGUA</t>
  </si>
  <si>
    <t>LATA VAZIA IMPREGNADA COM OSMOCREO</t>
  </si>
  <si>
    <t>Tóxico venenoso por contato e por ingestão.</t>
  </si>
  <si>
    <t xml:space="preserve">Evite contato com a substância. Em contato com o fogo o produto produz vapores tóxicos, devendo ser utilizada roupa e máscara de proteção. </t>
  </si>
  <si>
    <t>LATA VAZIA IMPREGNADA COM TINTA ANTI-CHAMA</t>
  </si>
  <si>
    <t>Não misturar com outros resíduos.</t>
  </si>
  <si>
    <t>RESÍDUO CLASSE I (TINTA,VERNIZ,PRODUTO QUÍMICO VENCIDO EMBALAGEM SPRAY,INSETICIDA).</t>
  </si>
  <si>
    <t>LATAS DE AEROSSOIS DE PESTICIDAS</t>
  </si>
  <si>
    <t>Não perfurar o vasilhame.</t>
  </si>
  <si>
    <t>AEROSSÓIS</t>
  </si>
  <si>
    <t xml:space="preserve">LATAS VAZIAS DE AEROSSOIS </t>
  </si>
  <si>
    <t>LATAS VAZIAS DE AEROSSOL DE BAYGON E REPELENTE PARA CARRAPATOS</t>
  </si>
  <si>
    <t>LATAS VAZIAS DE AEROSSOL IMPREGNADAS COM TINTA</t>
  </si>
  <si>
    <t xml:space="preserve">LATAS VAZIAS DE SPRAY </t>
  </si>
  <si>
    <t>LENCOL INTEIRO E DE BAIXA TENSAO</t>
  </si>
  <si>
    <t>LIQUIDO CORROSIVO, N.E.</t>
  </si>
  <si>
    <t>13 Resíduos Domésticos</t>
  </si>
  <si>
    <t>LIXO COMUM</t>
  </si>
  <si>
    <t>Biodegradável</t>
  </si>
  <si>
    <t>Acondicionar de forma segregada evitando a mistura com outros materiais.</t>
  </si>
  <si>
    <t>Aterro Sanitário Licenciado</t>
  </si>
  <si>
    <t>NÃO É ENVIADO</t>
  </si>
  <si>
    <t>LIXO ORGANICO</t>
  </si>
  <si>
    <t>RESÍDUO ORGÂNICO</t>
  </si>
  <si>
    <t>Resíduos biodegradáveis de cozinhas e cantinas</t>
  </si>
  <si>
    <t>LODO DE LIMPEZA PERIODICOS DAS CAIXAS SEPARADORA DE AGUA E OLEO</t>
  </si>
  <si>
    <t>Lodo proveniente dos separadores de óleo e água</t>
  </si>
  <si>
    <t>LONA CORDURA</t>
  </si>
  <si>
    <t>Esses resíduos deverão ser segregados e acondicionados em tambores de 200 L (duzentos litros), ou em big-bags.</t>
  </si>
  <si>
    <t>LONA PLASTICA</t>
  </si>
  <si>
    <t>LUMINARIA ORNAMENTAL</t>
  </si>
  <si>
    <t>Armazenar de forma a evitar o acúmulo de água</t>
  </si>
  <si>
    <t>Caixas de madeira ou big bags</t>
  </si>
  <si>
    <t xml:space="preserve"> LUMINÁRIA,ORNAMENTAL,PROJETOR,C/REATOR I</t>
  </si>
  <si>
    <t xml:space="preserve"> Equipamento fora de uso contendo componentes perigosos não abrangidos em 16 02 09 a 16 02 12</t>
  </si>
  <si>
    <t>LUVA ISOLANTE</t>
  </si>
  <si>
    <t>LUVAS DE BORRACHA, COBERTURA RIGIDA, MANGA ISOLANTE, LENCOL</t>
  </si>
  <si>
    <t>CAIXA DE MADEIRA</t>
  </si>
  <si>
    <t>LUVAS DE RASPA</t>
  </si>
  <si>
    <t>Apresenta concentração significativa de cromo.</t>
  </si>
  <si>
    <t>LUVAS DE VAQUETA</t>
  </si>
  <si>
    <t>MANGA ISOLANTE</t>
  </si>
  <si>
    <t>MANGUEIRAS COM TRAMA DE ACO</t>
  </si>
  <si>
    <t>Em avaliação</t>
  </si>
  <si>
    <t>SUCATA DE FERRO</t>
  </si>
  <si>
    <t>MANGUEIRAS DE BORRACHA</t>
  </si>
  <si>
    <t>MANTAS IMPREGNADAS COM OLEO</t>
  </si>
  <si>
    <t>MASSA PARA CALAFETAR (VENCIDA)</t>
  </si>
  <si>
    <t xml:space="preserve">Produto a base de borrachas e resinas sintéticas, aditivos, cargas minerais e plastificantes. </t>
  </si>
  <si>
    <t>MATERIAIS ELETRICOS DIVERSOS</t>
  </si>
  <si>
    <t>SUCATA,MATERIAL TELECOMUNICACAO/INFORMATICA.</t>
  </si>
  <si>
    <t>MATERIAIS INFORMATICA E TELECOMUNICACAO</t>
  </si>
  <si>
    <t>MEDIDORES</t>
  </si>
  <si>
    <t>MERCURIO, COMPOSTOS SOLIDOS</t>
  </si>
  <si>
    <t>MERCÚRIO COMPOSTO, SÓLIDO, N.E</t>
  </si>
  <si>
    <t>RESÍDUO/COMPONENTE C/MERCÚRIO (EXCLUI LÂMPADA).</t>
  </si>
  <si>
    <t>MONITORES</t>
  </si>
  <si>
    <t>Reutilização ou reciclagem</t>
  </si>
  <si>
    <t>119008 (PEÇA)
118984 (KG)</t>
  </si>
  <si>
    <t>SUCATA,MATERIAL INFORMATICA/  TELECOMUNICACAO.</t>
  </si>
  <si>
    <t>MOVEIS</t>
  </si>
  <si>
    <t>Reutilização</t>
  </si>
  <si>
    <t>MOVEIS USADOS</t>
  </si>
  <si>
    <t>NITRATO DE PRATA</t>
  </si>
  <si>
    <t xml:space="preserve">O recipiente pode explodir se aquecido. O fogo pode produzir gases irritantes. </t>
  </si>
  <si>
    <t>Não tocar no material derramado ou em embalagens danificadas. Manusear o material utilizando os EPIs adequados.</t>
  </si>
  <si>
    <t>Classe_05_Oxidante</t>
  </si>
  <si>
    <t>NITRATO DE PRATA PA</t>
  </si>
  <si>
    <t>OCULOS DE SEGURANCA</t>
  </si>
  <si>
    <t>OLEO 02 TEMPOS</t>
  </si>
  <si>
    <t>Produto pouco tóxico. Produto não classificado como perigoso para transporte.</t>
  </si>
  <si>
    <t>OLEO COMPRESSOR CONTAMINADO COM AGUA</t>
  </si>
  <si>
    <t>Regeneração ou ou rerrefino ou coprocessamento</t>
  </si>
  <si>
    <t xml:space="preserve"> Óleos minerais isolantes, de refrigeração e de transmissão de calor não clorados</t>
  </si>
  <si>
    <t>OLEO CONTAMINADO COM ASCAREL / PCB's</t>
  </si>
  <si>
    <t>Óleos de isolamento térmico, de refrigeração e de transmissão de calor usados, fluidos dielétricos e resíduos contaminados com bifenilas policloradas</t>
  </si>
  <si>
    <t>ÓLEO DIESEL</t>
  </si>
  <si>
    <t>OLEO LUBRIFICANTE CONTAMINADO COM AGUA</t>
  </si>
  <si>
    <t>RESÍDUO DE ÓLEO LUBRIFICANTE</t>
  </si>
  <si>
    <t>Óleos de motores, transmissões e lubrificação usados ou contaminados</t>
  </si>
  <si>
    <t>OLEO LUBRIFICANTE USADO OU CONTAMINADO</t>
  </si>
  <si>
    <t>Rerrefino</t>
  </si>
  <si>
    <t>OLEO MINERAL ISOLANTE A REGENERAR</t>
  </si>
  <si>
    <t>Regeneração, rerrefino ou coprocessamento</t>
  </si>
  <si>
    <t>ÓLEO,MINERAL,ISOLANTE,USADO,A SER REGENE</t>
  </si>
  <si>
    <t>Óleos minerais isolantes, de refrigeração e de transmissão de calor não clorados</t>
  </si>
  <si>
    <t>OLEO MINERAL ISOLANTE USADO/CONTAMINADO</t>
  </si>
  <si>
    <t>ÓLEO MINERAL ISOLANTE, USADO, A SER REGENERADO</t>
  </si>
  <si>
    <t>OLEO MINERAL ISOLANTE CONTAMINADO COM AGUA</t>
  </si>
  <si>
    <t>RESÍDUO ÓLEO MINERAL ISOLANTE CONTAMINADO</t>
  </si>
  <si>
    <t>OLEO MINERAL ISOLANTE CONTAMINADO COM ENXOFRE CORROSIVO</t>
  </si>
  <si>
    <t>OLEO MINERAL ISOLANTE CONTAMINADO COM OLEO LUBRIFICANTE</t>
  </si>
  <si>
    <t>Tambor metálico de 200 L homologado pelo Inmetro. Favor marcar com um X a tampa do tambor.</t>
  </si>
  <si>
    <t xml:space="preserve">Rerrefino </t>
  </si>
  <si>
    <t>OLEO VEGETAL</t>
  </si>
  <si>
    <t>Produto pouco tóxico.</t>
  </si>
  <si>
    <t>Tambor metálico de 200 L homologado pelo Inmetro.</t>
  </si>
  <si>
    <t>RESÍDUO PERIGOSO, LÍQUIDO, N.E.</t>
  </si>
  <si>
    <t>Óleos facilmente biodegradáveis isolantes, de refrigeração e de transmissão de</t>
  </si>
  <si>
    <t>OSMOCREO</t>
  </si>
  <si>
    <t>Tóxico venenoso por contato e por ingestão. Pode ser fatal se ingerido.</t>
  </si>
  <si>
    <t>Evite contato com a substância. Em contato com o fogo o produto produz vapores tóxicos, devendo ser utilizada roupa e máscara de proteção. Em caso de derramento, cobrir o produto com terra ou areia e remover fontes de ignição.</t>
  </si>
  <si>
    <t>PESTICIDA À BASE DE ORGANOFOSFORADOS, LÍQUIDO, TÓXICO</t>
  </si>
  <si>
    <t>calor –</t>
  </si>
  <si>
    <t>OXI BLACK</t>
  </si>
  <si>
    <t>PAPEL DE ESCRITORIO</t>
  </si>
  <si>
    <t>PAPEL FILTRO IMPREGNADO COM OLEO</t>
  </si>
  <si>
    <t>PARA-RAIO DE PORCELANA</t>
  </si>
  <si>
    <t>SUCATA,PÁRA-RAIOS,PORCELANA OU RESINA,MT OU BT,À RECUPERAR.</t>
  </si>
  <si>
    <t>PCB (BIFENILAS POLICLORADAS - ASCAREL)
SÓLIDO</t>
  </si>
  <si>
    <t>PECAS AUTOMOTIVAS</t>
  </si>
  <si>
    <t>NÃO CARACTERIZADO</t>
  </si>
  <si>
    <t>Reciclagem e descontaminação ou incineração</t>
  </si>
  <si>
    <t>SUCATA PEÇA PARA VEÍCULO</t>
  </si>
  <si>
    <t>PECAS METALICAS CONTAMINADAS COM OLEO E GRAXA</t>
  </si>
  <si>
    <t>RESÍDUO SÓLIDO C/PARTES METÁLICAS IMPREGNADO C/ÓLEO.</t>
  </si>
  <si>
    <t>PENTANO</t>
  </si>
  <si>
    <t>Extremamente inflamável. Tóxico para os organismos aquáticos, podendo causar efeitos nefastos a longo prazo no ambiente aquático. Nocivo: pode causar danos nos pulmões se ingerido. Pode provocar secura da pele ou fissuras, por exposição repetida. Pode provocar sonolência e vertigens, por inalação dos vapores.</t>
  </si>
  <si>
    <t>PERCLORETO DE FERRO SOLUÇÃO</t>
  </si>
  <si>
    <t>Material não combustível. O produto não queima, mas pode liberar gases corrosivos ou tóxicos.</t>
  </si>
  <si>
    <t>Resíduos de processos químicos inorgânicos</t>
  </si>
  <si>
    <t>PERNEIRA DE COURO</t>
  </si>
  <si>
    <t>PICHE</t>
  </si>
  <si>
    <t>PILHAS E BATERIAS DE CELULAR</t>
  </si>
  <si>
    <t>PILHAS E BATERIAS PORTATEIS USADAS</t>
  </si>
  <si>
    <t>PILHAS SECAS</t>
  </si>
  <si>
    <t>Não exponha pilhas ao calor excessivo ou à umidade. Elas podem vazar ou explodir</t>
  </si>
  <si>
    <t>PINO DE ISOLADOR</t>
  </si>
  <si>
    <t>SUCATA,ISOLADOR CASTANHA,PINO OU ROLDANA.</t>
  </si>
  <si>
    <t>PINO DE ISOLADOR COM CHUMBO</t>
  </si>
  <si>
    <t>PLASTICOS DIVERSOS</t>
  </si>
  <si>
    <t>Coletor vermelho</t>
  </si>
  <si>
    <t xml:space="preserve"> RESÍDUO PLÁSTICO EM GERAL</t>
  </si>
  <si>
    <t>PNEUS DE AUTOMÓVEIS</t>
  </si>
  <si>
    <t>SUCATA, PNEU</t>
  </si>
  <si>
    <t>Pneus inservíveis/usados de automóveis</t>
  </si>
  <si>
    <t>PNEUS DE VEÍCULOS DE GRANDE PORTE</t>
  </si>
  <si>
    <t>Pneus inservíveis/usados de caminhões/ônibus</t>
  </si>
  <si>
    <t>PNEUS DE MOTOCICLETAS</t>
  </si>
  <si>
    <t>Pneus inservíveis/usados de motocicletas</t>
  </si>
  <si>
    <t>PO QUIMICO DE EXTINTOR DE INCENDIO</t>
  </si>
  <si>
    <t>PODA E VARRIÇÃO</t>
  </si>
  <si>
    <t>11 Postes</t>
  </si>
  <si>
    <t>POSTE AÇO</t>
  </si>
  <si>
    <t>SUCATA,POSTE AÇO.</t>
  </si>
  <si>
    <t>POSTE AROEIRA</t>
  </si>
  <si>
    <t>SUCATA,POSTE AROEIRA.</t>
  </si>
  <si>
    <t>POSTE CONCRETO</t>
  </si>
  <si>
    <t>SUCATA,POSTE CONCRETO.</t>
  </si>
  <si>
    <t xml:space="preserve">Resíduos de cimento </t>
  </si>
  <si>
    <t>POSTE EUCALIPTO</t>
  </si>
  <si>
    <t>SUCATA,POSTE,CRUZETA MAIOR 5M,EUCALIPTO.</t>
  </si>
  <si>
    <t>PROTETOR AUDITIVO USADO</t>
  </si>
  <si>
    <t>QUEROSENE</t>
  </si>
  <si>
    <t>Produto Inflamável</t>
  </si>
  <si>
    <t>RESÍDUO DE COMBUSTÍVEIS (QUEROSENE)</t>
  </si>
  <si>
    <t>QUEROSENE DE AVIAÇÃO</t>
  </si>
  <si>
    <t>QUEROSENE DE AVIAÇÃO QAV-1</t>
  </si>
  <si>
    <t>REAGENTES E SOLVENTES DE LABORATORIO QUIMICO</t>
  </si>
  <si>
    <t>Armazenar em local bem ventilado. Eliminar fontes de calor e ignição.</t>
  </si>
  <si>
    <t>REATOR COM ASCAREL</t>
  </si>
  <si>
    <t>REATOR SEM ASCAREL</t>
  </si>
  <si>
    <t>SUCATA,REATOR.</t>
  </si>
  <si>
    <t>Componentes perigosos retirados de equipamento fora de uso</t>
  </si>
  <si>
    <t>REFLETOR DE LUMINÁRIA</t>
  </si>
  <si>
    <t>RELÉ FOTOELÉTRICO</t>
  </si>
  <si>
    <t>Reforma ou Alienação</t>
  </si>
  <si>
    <t>RESÍDUO CONTENDO HEXANO</t>
  </si>
  <si>
    <t xml:space="preserve">Facilmente inflamável. Irritante para a pele. Nocivo: risco de efeitos graves para a saúde em caso de exposição prolongada por inalação. </t>
  </si>
  <si>
    <t>HEXANOS</t>
  </si>
  <si>
    <t>RESIDUO CONTENDO HIDROXIDO DE POTASSIO (SOLUÇÃO)</t>
  </si>
  <si>
    <t>Sólido corrosivo. Provoca queimaduras graves.</t>
  </si>
  <si>
    <t>4 HIDRÓXIDO DE POTÁSSIO SOLUÇÃO</t>
  </si>
  <si>
    <t>HIDRÓXIDO DE POTÁSSIO PA</t>
  </si>
  <si>
    <t>RESIDUO CONTENDO HIDROXIDO DE POTASSIO SÓLIDO</t>
  </si>
  <si>
    <t>HIDRÓXIDO DE POTÁSSIO, SÓLIDO</t>
  </si>
  <si>
    <t>RESIDUO DE ETILENODIAMINA CUPRICA</t>
  </si>
  <si>
    <t xml:space="preserve">Riscos para a saúde: vapor tóxico. Produto não inflamável, porém combustível. Pode produzir vapores irritantes de etilenodiamina quando aquecido. </t>
  </si>
  <si>
    <t>CUPRIETILENODIAMINA, SOLUÇÃO</t>
  </si>
  <si>
    <t>ETILENODIAMINA CÚPRICA PA</t>
  </si>
  <si>
    <t>ÓLEO AROMÁTICO (LINEAR ALQUIL BENZENO)</t>
  </si>
  <si>
    <r>
      <t xml:space="preserve">Coprocessamento/ Regeneração (a </t>
    </r>
    <r>
      <rPr>
        <sz val="9"/>
        <color rgb="FFFFFF00"/>
        <rFont val="Arial"/>
        <family val="2"/>
      </rPr>
      <t>confirm</t>
    </r>
    <r>
      <rPr>
        <sz val="9"/>
        <rFont val="Arial"/>
        <family val="2"/>
      </rPr>
      <t>ar)</t>
    </r>
  </si>
  <si>
    <t>A definir</t>
  </si>
  <si>
    <t>Resíduos sólidos contendo substâncias perigosas</t>
  </si>
  <si>
    <t>RESIDUO DE LIMPEZA DE CAIXA SEPARADORA AGUA/OLEO</t>
  </si>
  <si>
    <t>Água com óleo proveniente dos separadores óleo/água</t>
  </si>
  <si>
    <t>RESIDUO DE LIMPEZA DE GERADOR</t>
  </si>
  <si>
    <t>Constituintes que conferem periculosidade ao resíduo: desengraxante, pó de escova e  óleo.</t>
  </si>
  <si>
    <t>RESIDUO DE METANOL</t>
  </si>
  <si>
    <t>Líquido Inflamvável. Pode intoxicar e causar cegueira</t>
  </si>
  <si>
    <t>Reciclagem ou reutilização</t>
  </si>
  <si>
    <t>METANOL</t>
  </si>
  <si>
    <t>RESIDUO IMPREGNADO COM TINTA E SOLVENTE (SEM PARTE METALICA)</t>
  </si>
  <si>
    <t>MATERIAL RELACIONADO COM TINTAS</t>
  </si>
  <si>
    <t>RESIDUO SOLIDO IMPREGNADO COM ÓLEO</t>
  </si>
  <si>
    <t>RESIDUO SOLIDO CONTAMINADO POR PCB</t>
  </si>
  <si>
    <t>RESIDUOS DE CAIXA DE GORDURA</t>
  </si>
  <si>
    <t>RESIDUOS DE MADEIRA</t>
  </si>
  <si>
    <t>REVELADOR PARA COPIADORAS</t>
  </si>
  <si>
    <t>Reprocessamento</t>
  </si>
  <si>
    <t>SUCATA,MATERIAL INFORMATICA</t>
  </si>
  <si>
    <t>SACOLA DE LONA PARA FERRAMENTAS</t>
  </si>
  <si>
    <t>SELO DE ALUMINIO</t>
  </si>
  <si>
    <t>RESÍDUO SELO DE MEDIDOR S/CHUMBO.</t>
  </si>
  <si>
    <t>SELO DE CHUMBO</t>
  </si>
  <si>
    <t xml:space="preserve"> RESÍDUO SELO DE MEDIDOR C/CHUMBO.</t>
  </si>
  <si>
    <t>SELO PLASTICO DE MEDIDORES</t>
  </si>
  <si>
    <t>Tambor metálico de 200 L, caixa de papelão, saco plástico de alta resistência.</t>
  </si>
  <si>
    <t>SELO POLICARBONATO DE MEDIDORES</t>
  </si>
  <si>
    <t>SELO SEMI-BARREIRA DE MEDIDORES</t>
  </si>
  <si>
    <t>Tambor metálico de 200 L homologado pelo Inmetro, caixa de papelão, saco plástico de alta resistência.</t>
  </si>
  <si>
    <t>SERRAGEM CONTAMINADA COM ASCAREL (PCB's)</t>
  </si>
  <si>
    <t>SILICA GEL CONTAMINADA COM OLEO</t>
  </si>
  <si>
    <t>SOLVENTES ORGANICOS DIVERSOS</t>
  </si>
  <si>
    <t>Facilmente inflamável. Irritante para a pele. Nocivo: risco de efeitos graves para a saúde em caso de exposição prolongada por inalação.</t>
  </si>
  <si>
    <t>Ventilie espaços fechados antes de entrar. Eliminar fontes quentes e de ignição. Armazenar em local bem ventilado.</t>
  </si>
  <si>
    <t>Coprocessamento ou incineração</t>
  </si>
  <si>
    <t>SOLVENTES DE TINTAS (SEM PARTE METALICA)</t>
  </si>
  <si>
    <t>SUCATA DE ALUMINIO</t>
  </si>
  <si>
    <t>SUCATA DE CHUMBO</t>
  </si>
  <si>
    <t>CHUMBO</t>
  </si>
  <si>
    <t>SUCATA DE COBRE</t>
  </si>
  <si>
    <t>CABO E FIO COBRE,USADO. (SUCATA,COBRE.EXCLUI.CABOS FIOS)</t>
  </si>
  <si>
    <t>Cobre, bronze e latão</t>
  </si>
  <si>
    <t>SUCATA METALICA COM FILME DE RESIDUO PERIGOSO (LATA VAZIA DE SOLVENTE)</t>
  </si>
  <si>
    <t>Embalagens de qualquer um dos tipos acima descritos contendo ou contaminadas por resíduos de substâncias perigosas</t>
  </si>
  <si>
    <t>SUCATA METALICA COM FILME DE RESIDUO PERIGOSO (LATA VAZIA DE OLEOS E GRAXAS)</t>
  </si>
  <si>
    <t>Tambor metálico de 200 L homologado pelo Inmetro</t>
  </si>
  <si>
    <t>Reciclagem, descontaminação ou incineração</t>
  </si>
  <si>
    <t>SUCATAS DE PORCELANA</t>
  </si>
  <si>
    <t xml:space="preserve"> SUCATA,ISOLADOR PORCELANA,C/FERRAGEM.</t>
  </si>
  <si>
    <t>SUPORTE PARA MONITORES</t>
  </si>
  <si>
    <t>SUPORTE PARA-RAIO POLIMERICO</t>
  </si>
  <si>
    <t>TAMBOR CONTAMINADO COM OLEOS E GRAXAS</t>
  </si>
  <si>
    <t>Engradado de madeira, revestido com plástico de alta resistência.</t>
  </si>
  <si>
    <t>TAMBORES INSERVIVEIS</t>
  </si>
  <si>
    <t>SUCATA,TAMBOR VAZIO.</t>
  </si>
  <si>
    <t xml:space="preserve"> Embalagens de metal</t>
  </si>
  <si>
    <t>TECIDO COM RETARDADOR DE CHAMA</t>
  </si>
  <si>
    <t>TECIDO COMUM</t>
  </si>
  <si>
    <t>TELHAS DE AMIANTO</t>
  </si>
  <si>
    <t xml:space="preserve">Tambor metálico de 200 L homologado pelo Inmetro, as telhas inteiras deverão ser acondicionadas utilizando lonas plásticas.  </t>
  </si>
  <si>
    <t>TERMOMETRO</t>
  </si>
  <si>
    <t>TERRA CONTAMINADA COM OLEO</t>
  </si>
  <si>
    <t>SERRAGEM CONTAMINADA COM OLEO</t>
  </si>
  <si>
    <t>030104</t>
  </si>
  <si>
    <t>Serragem, aparas, fitas de aplainamento, madeira, aglomerados e folheados,
contendo substâncias perigosas</t>
  </si>
  <si>
    <t>THINNER</t>
  </si>
  <si>
    <t>RESÍDUO SOLVENTE ORGÂNICO</t>
  </si>
  <si>
    <t>TINTA VENCIDA</t>
  </si>
  <si>
    <t>TOLUENO</t>
  </si>
  <si>
    <t>TONNER E FITAS DE IMPRESSORA, CARTUCHOS, CD'S FITAS K7 E VHS</t>
  </si>
  <si>
    <t>TONNER MAGNETICO</t>
  </si>
  <si>
    <t>TRANSFORMADOR DE CORRENTE E TRANSFORMADOR DE POTENCIAL DE EPOXI</t>
  </si>
  <si>
    <t>TRANSFORMADOR DE DISTRIBUICAO</t>
  </si>
  <si>
    <t>Armazenar de forma adequada para evitar  contaminação do solo.</t>
  </si>
  <si>
    <t>TURFA IMPREGNADA COM OLEO</t>
  </si>
  <si>
    <t>UNIFORME COM RETARDADOR DE CHAMAS</t>
  </si>
  <si>
    <t>UNIFORME COMUM</t>
  </si>
  <si>
    <t>VARA DE MANOBRA</t>
  </si>
  <si>
    <t>VARAS DE MANOBRA TELESCOPICA</t>
  </si>
  <si>
    <t>Caixa de madeira</t>
  </si>
  <si>
    <t>VARSOL</t>
  </si>
  <si>
    <t>VIDRO DE MEDIDORES</t>
  </si>
  <si>
    <t xml:space="preserve">Manusear o material utilizando os EPIs. </t>
  </si>
  <si>
    <t>RESÍDUO DE VIDROS EM GERAL</t>
  </si>
  <si>
    <t xml:space="preserve">Resíduos de vidro não abrangidos em 10 11 11 </t>
  </si>
  <si>
    <t>VIDROS DE LUMINARIAS</t>
  </si>
  <si>
    <t>VIDROS DE OBRAS CIVIS</t>
  </si>
  <si>
    <t>VIDROS DIVERSOS</t>
  </si>
  <si>
    <t>.png</t>
  </si>
  <si>
    <t>Classe_02_Gás_Inflamável.png</t>
  </si>
  <si>
    <t>Classe_02_Gás_Não_Tóxico.png</t>
  </si>
  <si>
    <t>Classe_03_Líquido_Inflamável.png</t>
  </si>
  <si>
    <t>Classe_04_Perigoso_Molhado.png</t>
  </si>
  <si>
    <t>Classe_05_Oxidante.png</t>
  </si>
  <si>
    <t>Classe_06_Tóxico.png</t>
  </si>
  <si>
    <t>Classe_08_Corrosivo.png</t>
  </si>
  <si>
    <t>Classe_09_Substâncias_Diversas.png</t>
  </si>
  <si>
    <t>Classe_09_Substâncias_Diversas_P.png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</si>
</sst>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9"/>
      <name val="Arial"/>
      <family val="2"/>
    </font>
    <font>
      <sz val="9"/>
      <color theme="1"/>
      <name val="Arial"/>
      <family val="2"/>
    </font>
    <font>
      <vertAlign val="subscript"/>
      <sz val="9"/>
      <name val="Arial"/>
      <family val="2"/>
    </font>
    <font>
      <sz val="10"/>
      <name val="Segoe UI"/>
      <family val="2"/>
    </font>
    <font>
      <sz val="9"/>
      <color rgb="FFFFFF00"/>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xfId="0"/>
    <xf numFmtId="0" fontId="2" fillId="0" borderId="1" xfId="1" applyFont="1" applyBorder="1" applyAlignment="1">
      <alignment horizontal="center" vertical="center"/>
    </xf>
    <xf numFmtId="0" fontId="2" fillId="0" borderId="1" xfId="1" applyFont="1" applyBorder="1" applyAlignment="1">
      <alignment horizontal="center"/>
    </xf>
    <xf numFmtId="49" fontId="2" fillId="0" borderId="1" xfId="1" applyNumberFormat="1" applyFont="1" applyBorder="1" applyAlignment="1">
      <alignment horizontal="center" vertical="center"/>
    </xf>
    <xf numFmtId="0" fontId="2" fillId="0" borderId="1" xfId="1" applyFont="1" applyBorder="1" applyAlignment="1">
      <alignment horizontal="left" vertical="center"/>
    </xf>
    <xf numFmtId="0" fontId="2" fillId="0" borderId="1" xfId="0" applyFont="1" applyBorder="1" applyAlignment="1">
      <alignment horizontal="center" vertical="center"/>
    </xf>
    <xf numFmtId="0" fontId="2" fillId="0" borderId="2" xfId="1" applyFont="1" applyBorder="1" applyAlignment="1">
      <alignment horizontal="center" vertical="center"/>
    </xf>
    <xf numFmtId="0" fontId="0" fillId="0" borderId="1" xfId="0" applyBorder="1"/>
    <xf numFmtId="0" fontId="3" fillId="0" borderId="1" xfId="0" applyFont="1" applyBorder="1" applyAlignment="1">
      <alignment horizontal="center" vertical="center"/>
    </xf>
    <xf numFmtId="0" fontId="2" fillId="0" borderId="3" xfId="1" applyFont="1" applyBorder="1" applyAlignment="1">
      <alignment horizontal="center" vertical="center"/>
    </xf>
    <xf numFmtId="0" fontId="5" fillId="0" borderId="0" xfId="0" applyFont="1" applyAlignment="1">
      <alignment horizontal="center" vertical="center"/>
    </xf>
    <xf numFmtId="0" fontId="5" fillId="0" borderId="0" xfId="0" applyFont="1"/>
    <xf numFmtId="0" fontId="2" fillId="0" borderId="1" xfId="1" applyFont="1" applyBorder="1" applyAlignment="1">
      <alignment horizontal="center" vertical="center" wrapText="1"/>
    </xf>
  </cellXfs>
  <cellStyles count="2">
    <cellStyle name="Normal" xfId="0" builtinId="0"/>
    <cellStyle name="Normal 2" xfId="1" xr:uid="{85367B45-ACB9-4127-9AD3-C7E86233B5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emigbr.sharepoint.com/sites/CTT96/Documentos%20Compartilhados/SIG/Descarte/01.%20Planilha%20Gerenciamento%20de%20Res&#237;duos.xlsm" TargetMode="External"/><Relationship Id="rId1" Type="http://schemas.openxmlformats.org/officeDocument/2006/relationships/externalLinkPath" Target="https://cemigbr.sharepoint.com/sites/CTT96/Documentos%20Compartilhados/SIG/Descarte/01.%20Planilha%20Gerenciamento%20de%20Res&#237;du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Consulta_Resíduos"/>
      <sheetName val="Rótulo Identificação"/>
      <sheetName val="Incompatibilidades"/>
      <sheetName val="Rótulo Resíduo"/>
      <sheetName val="BDados_Resíduos"/>
      <sheetName val="Lista ONU"/>
      <sheetName val="Filtro"/>
      <sheetName val="Figuras de Risco"/>
      <sheetName val="Rótulo de Risco"/>
    </sheetNames>
    <sheetDataSet>
      <sheetData sheetId="0"/>
      <sheetData sheetId="1"/>
      <sheetData sheetId="2"/>
      <sheetData sheetId="3"/>
      <sheetData sheetId="4"/>
      <sheetData sheetId="5"/>
      <sheetData sheetId="6">
        <row r="2">
          <cell r="A2">
            <v>4</v>
          </cell>
          <cell r="B2" t="str">
            <v>PICRATO DE AMÔNIO seco ou umedecido com menos de 10% de água, em massa †</v>
          </cell>
          <cell r="C2">
            <v>20</v>
          </cell>
          <cell r="D2" t="str">
            <v>ZERO</v>
          </cell>
        </row>
        <row r="3">
          <cell r="A3">
            <v>12</v>
          </cell>
          <cell r="B3" t="str">
            <v>CARTUCHOS PARA ARMAS, PROJÉTEIS INERTES ou CARTUCHOS, ARMAS PORTÁTEIS †</v>
          </cell>
          <cell r="C3" t="str">
            <v>ILIMITADA</v>
          </cell>
          <cell r="D3" t="str">
            <v>5 kg</v>
          </cell>
        </row>
        <row r="4">
          <cell r="A4">
            <v>14</v>
          </cell>
          <cell r="B4" t="str">
            <v>CARTUCHOS PARA ARMAS, FESTIM ou CARTUCHOS PARA ARMAS PORTÁTEIS, FESTIM ou CARTUCHOS PARA FERRAMENTAS, FESTIM †</v>
          </cell>
          <cell r="C4" t="str">
            <v>ILIMITADA</v>
          </cell>
          <cell r="D4" t="str">
            <v>5 kg</v>
          </cell>
        </row>
        <row r="5">
          <cell r="A5">
            <v>19</v>
          </cell>
          <cell r="B5" t="str">
            <v>MUNIÇÃO, INCENDIÁRIA com ou sem ruptor, carga ejetora ou carga propelente †</v>
          </cell>
          <cell r="C5">
            <v>20</v>
          </cell>
          <cell r="D5" t="str">
            <v>ZERO</v>
          </cell>
        </row>
        <row r="6">
          <cell r="A6">
            <v>27</v>
          </cell>
          <cell r="B6" t="str">
            <v>PÓLVORA NEGRA, granulada ou em pó †</v>
          </cell>
          <cell r="C6">
            <v>20</v>
          </cell>
          <cell r="D6" t="str">
            <v>ZERO</v>
          </cell>
        </row>
        <row r="7">
          <cell r="A7">
            <v>28</v>
          </cell>
          <cell r="B7" t="str">
            <v>PÓLVORA NEGRA, COMPRIMIDA ou PÓLVORA NEGRA, EM PASTILHAS †</v>
          </cell>
          <cell r="C7">
            <v>20</v>
          </cell>
          <cell r="D7" t="str">
            <v>ZERO</v>
          </cell>
        </row>
        <row r="8">
          <cell r="A8">
            <v>29</v>
          </cell>
          <cell r="B8" t="str">
            <v>DETONADORES, NÃO ELÉTRICOS para demolição †</v>
          </cell>
          <cell r="C8">
            <v>20</v>
          </cell>
          <cell r="D8" t="str">
            <v>ZERO</v>
          </cell>
        </row>
        <row r="9">
          <cell r="A9">
            <v>30</v>
          </cell>
          <cell r="B9" t="str">
            <v>DETONADORES, ELÉTRICOS para demolição †</v>
          </cell>
          <cell r="C9">
            <v>20</v>
          </cell>
          <cell r="D9" t="str">
            <v>ZERO</v>
          </cell>
        </row>
        <row r="10">
          <cell r="A10">
            <v>31</v>
          </cell>
          <cell r="B10" t="str">
            <v>MUNIÇÃO, FUMÍGENA com ou sem ruptor, carga ejetora ou carga propelente †</v>
          </cell>
          <cell r="C10">
            <v>20</v>
          </cell>
          <cell r="D10" t="str">
            <v>ZERO</v>
          </cell>
        </row>
        <row r="11">
          <cell r="A11">
            <v>37</v>
          </cell>
          <cell r="B11" t="str">
            <v>BOMBAS, FOTO-ILUMINANTE †</v>
          </cell>
          <cell r="C11">
            <v>20</v>
          </cell>
          <cell r="D11" t="str">
            <v>ZERO</v>
          </cell>
        </row>
        <row r="12">
          <cell r="A12">
            <v>37</v>
          </cell>
          <cell r="B12" t="str">
            <v>MUNIÇÃO, LACRIMOGÊNEA com ruptor, carga ejetora ou carga propelente †</v>
          </cell>
          <cell r="C12">
            <v>20</v>
          </cell>
          <cell r="D12" t="str">
            <v>ZERO</v>
          </cell>
        </row>
        <row r="13">
          <cell r="A13">
            <v>41</v>
          </cell>
          <cell r="B13" t="str">
            <v>MUNIÇÃO, TÓXICA com ruptor, carga ejetora ou carga propelente †</v>
          </cell>
          <cell r="C13" t="str">
            <v>ZERO</v>
          </cell>
          <cell r="D13" t="str">
            <v>ZERO</v>
          </cell>
        </row>
        <row r="14">
          <cell r="A14">
            <v>43</v>
          </cell>
          <cell r="B14" t="str">
            <v>RUPTORES, explosivos †</v>
          </cell>
          <cell r="C14">
            <v>20</v>
          </cell>
          <cell r="D14" t="str">
            <v>ZERO</v>
          </cell>
        </row>
        <row r="15">
          <cell r="A15">
            <v>44</v>
          </cell>
          <cell r="B15" t="str">
            <v>INICIADORES, TIPO CÁPSULA †</v>
          </cell>
          <cell r="C15" t="str">
            <v>ILIMITADA</v>
          </cell>
          <cell r="D15" t="str">
            <v>ZERO</v>
          </cell>
        </row>
        <row r="16">
          <cell r="A16">
            <v>48</v>
          </cell>
          <cell r="B16" t="str">
            <v>CARGAS DE DEMOLIÇÃO †</v>
          </cell>
          <cell r="C16">
            <v>20</v>
          </cell>
          <cell r="D16" t="str">
            <v>ZERO</v>
          </cell>
        </row>
        <row r="17">
          <cell r="A17">
            <v>54</v>
          </cell>
          <cell r="B17" t="str">
            <v>CARTUCHOS PARA SINALIZAÇÃO †</v>
          </cell>
          <cell r="C17">
            <v>20</v>
          </cell>
          <cell r="D17" t="str">
            <v>ZERO</v>
          </cell>
        </row>
        <row r="18">
          <cell r="A18">
            <v>55</v>
          </cell>
          <cell r="B18" t="str">
            <v>ESTOJOS DE CARTUCHOS, VAZIOS, COM INICIADOR †</v>
          </cell>
          <cell r="C18" t="str">
            <v>ILIMITADA</v>
          </cell>
          <cell r="D18" t="str">
            <v>5 kg</v>
          </cell>
        </row>
        <row r="19">
          <cell r="A19">
            <v>56</v>
          </cell>
          <cell r="B19" t="str">
            <v>CARGAS DE PROFUNDIDADE †</v>
          </cell>
          <cell r="C19">
            <v>20</v>
          </cell>
          <cell r="D19" t="str">
            <v>ZERO</v>
          </cell>
        </row>
        <row r="20">
          <cell r="A20">
            <v>60</v>
          </cell>
          <cell r="B20" t="str">
            <v>CARGAS, SUPLEMENTARES, EXPLOSIVAS †</v>
          </cell>
          <cell r="C20">
            <v>20</v>
          </cell>
          <cell r="D20" t="str">
            <v>ZERO</v>
          </cell>
        </row>
        <row r="21">
          <cell r="A21">
            <v>65</v>
          </cell>
          <cell r="B21" t="str">
            <v>CORDEL, DETONANTE, flexível †</v>
          </cell>
          <cell r="C21">
            <v>20</v>
          </cell>
          <cell r="D21" t="str">
            <v>ZERO</v>
          </cell>
        </row>
        <row r="22">
          <cell r="A22">
            <v>66</v>
          </cell>
          <cell r="B22" t="str">
            <v>CORDEL, ACENDEDOR †</v>
          </cell>
          <cell r="C22">
            <v>333</v>
          </cell>
          <cell r="D22" t="str">
            <v>ZERO</v>
          </cell>
        </row>
        <row r="23">
          <cell r="A23">
            <v>70</v>
          </cell>
          <cell r="B23" t="str">
            <v>CORTA-CABOS, EXPLOSIVOS †</v>
          </cell>
          <cell r="C23" t="str">
            <v>ILIMITADA</v>
          </cell>
          <cell r="D23" t="str">
            <v>ZERO</v>
          </cell>
        </row>
        <row r="24">
          <cell r="A24">
            <v>72</v>
          </cell>
          <cell r="B24" t="str">
            <v>CICLOTRIMETILENO  TRINITRAMINA  (CICLONITA</v>
          </cell>
        </row>
        <row r="25">
          <cell r="A25">
            <v>74</v>
          </cell>
          <cell r="B25" t="str">
            <v>DIAZODINITROFENOL, UMEDECIDO com no mínimo 40% de água, ou mistura de álcool e água, em massa †</v>
          </cell>
          <cell r="C25" t="str">
            <v>ZERO</v>
          </cell>
          <cell r="D25" t="str">
            <v>ZERO</v>
          </cell>
        </row>
        <row r="26">
          <cell r="A26">
            <v>75</v>
          </cell>
          <cell r="B26" t="str">
            <v>DINITRATO DE DIETILENOGLICOL, INSENSIBILIZADO com no mínimo 25% de insensibilizante não volátil e insolúvel em água, em massa †</v>
          </cell>
          <cell r="C26">
            <v>20</v>
          </cell>
          <cell r="D26" t="str">
            <v>ZERO</v>
          </cell>
        </row>
        <row r="27">
          <cell r="A27">
            <v>76</v>
          </cell>
          <cell r="B27" t="str">
            <v>DINITROFENOL, seco ou umedecido com menos de 15% de água, em massa †</v>
          </cell>
          <cell r="C27">
            <v>20</v>
          </cell>
          <cell r="D27" t="str">
            <v>ZERO</v>
          </cell>
        </row>
        <row r="28">
          <cell r="A28">
            <v>77</v>
          </cell>
          <cell r="B28" t="str">
            <v>DINITROFENOLATOS, metais alcalinos, secos ou umedecidos com menos de 15% de água, em massa †</v>
          </cell>
          <cell r="C28">
            <v>20</v>
          </cell>
          <cell r="D28" t="str">
            <v>ZERO</v>
          </cell>
        </row>
        <row r="29">
          <cell r="A29">
            <v>78</v>
          </cell>
          <cell r="B29" t="str">
            <v>DINITRORESORCINOL, seco ou umedecido com menos de 15% de água, em massa †</v>
          </cell>
          <cell r="C29">
            <v>20</v>
          </cell>
          <cell r="D29" t="str">
            <v>ZERO</v>
          </cell>
        </row>
        <row r="30">
          <cell r="A30">
            <v>79</v>
          </cell>
          <cell r="B30" t="str">
            <v>HEXANITRODIFENILAMINA (DIPICRILAMINA</v>
          </cell>
        </row>
        <row r="31">
          <cell r="A31">
            <v>81</v>
          </cell>
          <cell r="B31" t="str">
            <v>EXPLOSIVOS DE DEMOLIÇÃO, TIPO A †</v>
          </cell>
          <cell r="C31">
            <v>20</v>
          </cell>
          <cell r="D31" t="str">
            <v>ZERO</v>
          </cell>
        </row>
        <row r="32">
          <cell r="A32">
            <v>82</v>
          </cell>
          <cell r="B32" t="str">
            <v>EXPLOSIVOS DE DEMOLIÇÃO, TIPO B †</v>
          </cell>
          <cell r="C32">
            <v>20</v>
          </cell>
          <cell r="D32" t="str">
            <v>ZERO</v>
          </cell>
        </row>
        <row r="33">
          <cell r="A33">
            <v>83</v>
          </cell>
          <cell r="B33" t="str">
            <v>EXPLOSIVOS DE DEMOLIÇÃO, TIPO C †</v>
          </cell>
          <cell r="C33">
            <v>20</v>
          </cell>
          <cell r="D33" t="str">
            <v>ZERO</v>
          </cell>
        </row>
        <row r="34">
          <cell r="A34">
            <v>84</v>
          </cell>
          <cell r="B34" t="str">
            <v>EXPLOSIVOS DE DEMOLIÇÃO, TIPO D †</v>
          </cell>
          <cell r="C34">
            <v>20</v>
          </cell>
          <cell r="D34" t="str">
            <v>ZERO</v>
          </cell>
        </row>
        <row r="35">
          <cell r="A35">
            <v>99</v>
          </cell>
          <cell r="B35" t="str">
            <v>CARTUCHOS, ILUMINANTES †</v>
          </cell>
          <cell r="C35">
            <v>20</v>
          </cell>
          <cell r="D35" t="str">
            <v>ZERO</v>
          </cell>
        </row>
        <row r="36">
          <cell r="A36">
            <v>99</v>
          </cell>
          <cell r="B36" t="str">
            <v>DISPOSITIVOS DE FRATURAMENTO, EXPLOSIVOS para poços de petróleo, sem detonador †</v>
          </cell>
          <cell r="C36">
            <v>20</v>
          </cell>
          <cell r="D36" t="str">
            <v>ZERO</v>
          </cell>
        </row>
        <row r="37">
          <cell r="A37">
            <v>101</v>
          </cell>
          <cell r="B37" t="str">
            <v>ESTOPIM, NÃO DETONANTE †</v>
          </cell>
          <cell r="C37">
            <v>20</v>
          </cell>
          <cell r="D37" t="str">
            <v>ZERO</v>
          </cell>
        </row>
        <row r="38">
          <cell r="A38">
            <v>103</v>
          </cell>
          <cell r="B38" t="str">
            <v>ESTOPIM, ACENDEDOR, tubular, com revestimento metálico †</v>
          </cell>
          <cell r="C38">
            <v>333</v>
          </cell>
          <cell r="D38" t="str">
            <v>ZERO</v>
          </cell>
        </row>
        <row r="39">
          <cell r="A39">
            <v>104</v>
          </cell>
          <cell r="B39" t="str">
            <v>CORDEL (ESTOPIM), DETONANTE, DE EFEITO SUAVE, com revestimento metálico †</v>
          </cell>
          <cell r="C39">
            <v>333</v>
          </cell>
          <cell r="D39" t="str">
            <v>ZERO</v>
          </cell>
        </row>
        <row r="40">
          <cell r="A40">
            <v>105</v>
          </cell>
          <cell r="B40" t="str">
            <v>ESTOPIM, DE SEGURANÇA †</v>
          </cell>
          <cell r="C40" t="str">
            <v>ILIMITADA</v>
          </cell>
          <cell r="D40" t="str">
            <v>ZERO</v>
          </cell>
        </row>
        <row r="41">
          <cell r="A41">
            <v>110</v>
          </cell>
          <cell r="B41" t="str">
            <v>GRANADAS, PARA EXERCÍCIO, manuais ou para fuzil †</v>
          </cell>
          <cell r="C41" t="str">
            <v>ILIMITADA</v>
          </cell>
          <cell r="D41" t="str">
            <v>ZERO</v>
          </cell>
        </row>
        <row r="42">
          <cell r="A42">
            <v>113</v>
          </cell>
          <cell r="B42" t="str">
            <v>GUANIL NITROSAMINO-GUANILIDENO HIDRAZINA, UMEDECIDA com no mínimo 30% de água, em massa †</v>
          </cell>
          <cell r="C42" t="str">
            <v>ZERO</v>
          </cell>
          <cell r="D42" t="str">
            <v>ZERO</v>
          </cell>
        </row>
        <row r="43">
          <cell r="A43">
            <v>114</v>
          </cell>
          <cell r="B43" t="str">
            <v>GUANIL NITROSAMINO-GUANILTETRAZENO (TETRAZENO), UMEDECIDO com no mínimo 30% de água, ou mistura de álcool e água, em massa †</v>
          </cell>
          <cell r="C43" t="str">
            <v>ZERO</v>
          </cell>
          <cell r="D43" t="str">
            <v>ZERO</v>
          </cell>
        </row>
        <row r="44">
          <cell r="A44">
            <v>118</v>
          </cell>
          <cell r="B44" t="str">
            <v>HEXOLITA (HEXOTOL) seca ou umedecida com menos de 15% de água, em massa †</v>
          </cell>
          <cell r="C44">
            <v>20</v>
          </cell>
          <cell r="D44" t="str">
            <v>ZERO</v>
          </cell>
        </row>
        <row r="45">
          <cell r="A45">
            <v>121</v>
          </cell>
          <cell r="B45" t="str">
            <v>ACENDEDORES†</v>
          </cell>
          <cell r="C45">
            <v>20</v>
          </cell>
          <cell r="D45" t="str">
            <v>ZERO</v>
          </cell>
        </row>
        <row r="46">
          <cell r="A46">
            <v>124</v>
          </cell>
          <cell r="B46" t="str">
            <v>CANHÕES PARA JATO-PERFURAÇÃO em poços de petróleo, CARREGADOS, sem detonador †</v>
          </cell>
          <cell r="C46">
            <v>20</v>
          </cell>
          <cell r="D46" t="str">
            <v>ZERO</v>
          </cell>
        </row>
        <row r="47">
          <cell r="A47">
            <v>129</v>
          </cell>
          <cell r="B47" t="str">
            <v>AZIDA DE CHUMBO, UMEDECIDA com no mínimo 20% de água, ou mistura de álcool e água, em massa †</v>
          </cell>
          <cell r="C47" t="str">
            <v>ZERO</v>
          </cell>
          <cell r="D47" t="str">
            <v>ZERO</v>
          </cell>
        </row>
        <row r="48">
          <cell r="A48">
            <v>130</v>
          </cell>
          <cell r="B48" t="str">
            <v>ESTIFINATO DE CHUMBO (TRINITRORESORCINATO DE CHUMBO), UMEDECIDO com no mínimo 20% de água, ou</v>
          </cell>
        </row>
        <row r="49">
          <cell r="A49">
            <v>131</v>
          </cell>
          <cell r="B49" t="str">
            <v>ACENDEDORES, ESTOPIM †</v>
          </cell>
          <cell r="C49" t="str">
            <v>ILIMITADA</v>
          </cell>
          <cell r="D49" t="str">
            <v>ZERO</v>
          </cell>
        </row>
        <row r="50">
          <cell r="A50">
            <v>132</v>
          </cell>
          <cell r="B50" t="str">
            <v>SAIS METÁLICOS DEFLAGRANTES DE NITRODERIVADOS AROMÁTICOS, N.E. †</v>
          </cell>
          <cell r="C50">
            <v>20</v>
          </cell>
          <cell r="D50" t="str">
            <v>ZERO</v>
          </cell>
        </row>
        <row r="51">
          <cell r="A51">
            <v>133</v>
          </cell>
          <cell r="B51" t="str">
            <v>HEXANITRATO  DE  MANITOL  (NITROMANITA),  UMEDECIDO com no mínimo  40% de  água, ou  mistura de  álcool e água, em massa †</v>
          </cell>
          <cell r="C51">
            <v>20</v>
          </cell>
          <cell r="D51" t="str">
            <v>ZERO</v>
          </cell>
        </row>
        <row r="52">
          <cell r="A52">
            <v>135</v>
          </cell>
          <cell r="B52" t="str">
            <v>FULMINATO DE MERCÚRIO, UMEDECIDO com no mínimo 20% de água, ou mistura de álcool e água, em massa †</v>
          </cell>
          <cell r="C52" t="str">
            <v>ZERO</v>
          </cell>
          <cell r="D52" t="str">
            <v>ZERO</v>
          </cell>
        </row>
        <row r="53">
          <cell r="A53">
            <v>143</v>
          </cell>
          <cell r="B53" t="str">
            <v>NITROGLICERINA, INSENSIBILIZADA com no mínimo 40% de insensibilizante não-volátil e insolúvel em água, em massa</v>
          </cell>
        </row>
        <row r="54">
          <cell r="A54">
            <v>144</v>
          </cell>
          <cell r="B54" t="str">
            <v>NITROGLICERINA, EM SOLUÇÃO ALCOÓLICA com mais de 1% e até 10% de nitroglicerina †</v>
          </cell>
          <cell r="C54">
            <v>20</v>
          </cell>
          <cell r="D54" t="str">
            <v>ZERO</v>
          </cell>
        </row>
        <row r="55">
          <cell r="A55">
            <v>146</v>
          </cell>
          <cell r="B55" t="str">
            <v>NITROAMIDO, seco ou umedecido com menos de 20% de água, em massa †</v>
          </cell>
          <cell r="C55">
            <v>20</v>
          </cell>
          <cell r="D55" t="str">
            <v>ZERO</v>
          </cell>
        </row>
        <row r="56">
          <cell r="A56">
            <v>147</v>
          </cell>
          <cell r="B56" t="str">
            <v>NITROURÉIA †</v>
          </cell>
          <cell r="C56">
            <v>20</v>
          </cell>
          <cell r="D56" t="str">
            <v>ZERO</v>
          </cell>
        </row>
        <row r="57">
          <cell r="A57">
            <v>150</v>
          </cell>
          <cell r="B57" t="str">
            <v>TETRANITRATO  DE  PENTAERITRITA  (TETRANITRATO  DE  PENTAERITRITOL</v>
          </cell>
        </row>
        <row r="58">
          <cell r="A58">
            <v>151</v>
          </cell>
          <cell r="B58" t="str">
            <v>PENTOLITA, seca ou umedecida com menos de 15% de água, em massa †</v>
          </cell>
          <cell r="C58">
            <v>20</v>
          </cell>
          <cell r="D58" t="str">
            <v>ZERO</v>
          </cell>
        </row>
        <row r="59">
          <cell r="A59">
            <v>153</v>
          </cell>
          <cell r="B59" t="str">
            <v>TRINITROANILINA (PICRAMIDA) †</v>
          </cell>
          <cell r="C59">
            <v>20</v>
          </cell>
          <cell r="D59" t="str">
            <v>ZERO</v>
          </cell>
        </row>
        <row r="60">
          <cell r="A60">
            <v>154</v>
          </cell>
          <cell r="B60" t="str">
            <v>TRINITROFENOL (ÁCIDO PÍCRICO), seco ou umedecido com menos de 30% de água, em massa †</v>
          </cell>
          <cell r="C60">
            <v>20</v>
          </cell>
          <cell r="D60" t="str">
            <v>ZERO</v>
          </cell>
        </row>
        <row r="61">
          <cell r="A61">
            <v>155</v>
          </cell>
          <cell r="B61" t="str">
            <v>TRINITROCLOROBENZENO (CLORETO DE PICRILA) †</v>
          </cell>
          <cell r="C61">
            <v>20</v>
          </cell>
          <cell r="D61" t="str">
            <v>ZERO</v>
          </cell>
        </row>
        <row r="62">
          <cell r="A62">
            <v>159</v>
          </cell>
          <cell r="B62" t="str">
            <v>PÓLVORA EM PASTA, UMEDECIDA com no mínimo 25% de água, em massa †</v>
          </cell>
          <cell r="C62">
            <v>20</v>
          </cell>
          <cell r="D62" t="str">
            <v>ZERO</v>
          </cell>
        </row>
        <row r="63">
          <cell r="A63">
            <v>168</v>
          </cell>
          <cell r="B63" t="str">
            <v>PROJÉTIES com carga de ruptura †</v>
          </cell>
          <cell r="C63">
            <v>20</v>
          </cell>
          <cell r="D63" t="str">
            <v>ZERO</v>
          </cell>
        </row>
        <row r="64">
          <cell r="A64">
            <v>171</v>
          </cell>
          <cell r="B64" t="str">
            <v>MUNIÇÃO, ILUMINANTE com ou sem ruptor, carga ejetora ou carga propelente  †</v>
          </cell>
          <cell r="C64">
            <v>20</v>
          </cell>
          <cell r="D64" t="str">
            <v>ZERO</v>
          </cell>
        </row>
        <row r="65">
          <cell r="A65">
            <v>173</v>
          </cell>
          <cell r="B65" t="str">
            <v>DISPOSITIVOS DE ALÍVIO, EXPLOSIVOS †</v>
          </cell>
          <cell r="C65" t="str">
            <v>ILIMITADA</v>
          </cell>
          <cell r="D65" t="str">
            <v>ZERO</v>
          </cell>
        </row>
        <row r="66">
          <cell r="A66">
            <v>174</v>
          </cell>
          <cell r="B66" t="str">
            <v>REBITES, EXPLOSIVOS  †</v>
          </cell>
          <cell r="C66" t="str">
            <v>ILIMITADA</v>
          </cell>
          <cell r="D66" t="str">
            <v>ZERO</v>
          </cell>
        </row>
        <row r="67">
          <cell r="A67">
            <v>190</v>
          </cell>
          <cell r="B67" t="str">
            <v>EXPLOSIVOS, AMOSTRAS, não-iniciantes †</v>
          </cell>
          <cell r="C67" t="str">
            <v>ZERO</v>
          </cell>
          <cell r="D67" t="str">
            <v>ZERO</v>
          </cell>
        </row>
        <row r="68">
          <cell r="A68">
            <v>191</v>
          </cell>
          <cell r="B68" t="str">
            <v>SINALIZADORES, MANUAIS †</v>
          </cell>
          <cell r="C68">
            <v>333</v>
          </cell>
          <cell r="D68" t="str">
            <v>ZERO</v>
          </cell>
        </row>
        <row r="69">
          <cell r="A69">
            <v>193</v>
          </cell>
          <cell r="B69" t="str">
            <v>SINALIZADORES, PARA VIAS FÉRREAS, EXPLOSIVOS †</v>
          </cell>
          <cell r="C69" t="str">
            <v>ILIMITADA</v>
          </cell>
          <cell r="D69" t="str">
            <v>ZERO</v>
          </cell>
        </row>
        <row r="70">
          <cell r="A70">
            <v>197</v>
          </cell>
          <cell r="B70" t="str">
            <v>SINALIZADORES, DE FUMAÇA †</v>
          </cell>
          <cell r="C70">
            <v>333</v>
          </cell>
          <cell r="D70" t="str">
            <v>ZERO</v>
          </cell>
        </row>
        <row r="71">
          <cell r="A71">
            <v>207</v>
          </cell>
          <cell r="B71" t="str">
            <v>TETRANITROANILINA †</v>
          </cell>
          <cell r="C71">
            <v>20</v>
          </cell>
          <cell r="D71" t="str">
            <v>ZERO</v>
          </cell>
        </row>
        <row r="72">
          <cell r="A72">
            <v>208</v>
          </cell>
          <cell r="B72" t="str">
            <v>TRINITROFENIL-METILNITRAMINA (TETRIL) †</v>
          </cell>
          <cell r="C72">
            <v>20</v>
          </cell>
          <cell r="D72" t="str">
            <v>ZERO</v>
          </cell>
        </row>
        <row r="73">
          <cell r="A73">
            <v>209</v>
          </cell>
          <cell r="B73" t="str">
            <v>TRINITROTOLUENO (TNT), seco ou umedecido com menos de 30% de água, em massa †</v>
          </cell>
          <cell r="C73">
            <v>20</v>
          </cell>
          <cell r="D73" t="str">
            <v>ZERO</v>
          </cell>
        </row>
        <row r="74">
          <cell r="A74">
            <v>212</v>
          </cell>
          <cell r="B74" t="str">
            <v>TRAÇANTES PARA MUNIÇÃO †</v>
          </cell>
          <cell r="C74">
            <v>20</v>
          </cell>
          <cell r="D74" t="str">
            <v>ZERO</v>
          </cell>
        </row>
        <row r="75">
          <cell r="A75">
            <v>213</v>
          </cell>
          <cell r="B75" t="str">
            <v>ESTOPILHA, DE DETONAÇÃO †</v>
          </cell>
          <cell r="C75">
            <v>20</v>
          </cell>
          <cell r="D75" t="str">
            <v>ZERO</v>
          </cell>
        </row>
        <row r="76">
          <cell r="A76">
            <v>213</v>
          </cell>
          <cell r="B76" t="str">
            <v>TRINITROANISOL †</v>
          </cell>
          <cell r="C76">
            <v>20</v>
          </cell>
          <cell r="D76" t="str">
            <v>ZERO</v>
          </cell>
        </row>
        <row r="77">
          <cell r="A77">
            <v>214</v>
          </cell>
          <cell r="B77" t="str">
            <v>TRINITROBENZENO, seco ou umedecido com menos de 30% de água, em massa †</v>
          </cell>
          <cell r="C77">
            <v>20</v>
          </cell>
          <cell r="D77" t="str">
            <v>ZERO</v>
          </cell>
        </row>
        <row r="78">
          <cell r="A78">
            <v>215</v>
          </cell>
          <cell r="B78" t="str">
            <v>ÁCIDO TRINITROBENZÓICO, seco ou umedecido com menos de 30% de água, em massa †</v>
          </cell>
          <cell r="C78">
            <v>20</v>
          </cell>
          <cell r="D78" t="str">
            <v>ZERO</v>
          </cell>
        </row>
        <row r="79">
          <cell r="A79">
            <v>216</v>
          </cell>
          <cell r="B79" t="str">
            <v>TRINITRO-m-CRESOL †</v>
          </cell>
          <cell r="C79">
            <v>20</v>
          </cell>
          <cell r="D79" t="str">
            <v>ZERO</v>
          </cell>
        </row>
        <row r="80">
          <cell r="A80">
            <v>217</v>
          </cell>
          <cell r="B80" t="str">
            <v>TRINITRONAFTALENO †</v>
          </cell>
          <cell r="C80">
            <v>20</v>
          </cell>
          <cell r="D80" t="str">
            <v>ZERO</v>
          </cell>
        </row>
        <row r="81">
          <cell r="A81">
            <v>218</v>
          </cell>
          <cell r="B81" t="str">
            <v>TRINITROFENETOL †</v>
          </cell>
          <cell r="C81">
            <v>20</v>
          </cell>
          <cell r="D81" t="str">
            <v>ZERO</v>
          </cell>
        </row>
        <row r="82">
          <cell r="A82">
            <v>219</v>
          </cell>
          <cell r="B82" t="str">
            <v>TRINITRO-RESORCINOL (ÁCIDO ESTIFÍNICO), seco ou umedecido com menos de 20% de água, ou mistura de álcool e água, em massa †</v>
          </cell>
          <cell r="C82">
            <v>20</v>
          </cell>
          <cell r="D82" t="str">
            <v>ZERO</v>
          </cell>
        </row>
        <row r="83">
          <cell r="A83">
            <v>220</v>
          </cell>
          <cell r="B83" t="str">
            <v>NITRATO DE URÉIA, seco ou umedecido com menos de 20% de água, em massa †</v>
          </cell>
          <cell r="C83">
            <v>20</v>
          </cell>
          <cell r="D83" t="str">
            <v>ZERO</v>
          </cell>
        </row>
        <row r="84">
          <cell r="A84">
            <v>221</v>
          </cell>
          <cell r="B84" t="str">
            <v>OGIVAS, TORPEDOS com carga de ruptura †</v>
          </cell>
          <cell r="C84">
            <v>20</v>
          </cell>
          <cell r="D84" t="str">
            <v>ZERO</v>
          </cell>
        </row>
        <row r="85">
          <cell r="A85">
            <v>222</v>
          </cell>
          <cell r="B85" t="str">
            <v>NITRATO DE AMÔNIO</v>
          </cell>
          <cell r="C85">
            <v>20</v>
          </cell>
          <cell r="D85" t="str">
            <v>ZERO</v>
          </cell>
        </row>
        <row r="86">
          <cell r="A86">
            <v>224</v>
          </cell>
          <cell r="B86" t="str">
            <v>AZIDA DE BÁRIO, seca ou umedecida com menos de 50% de água, em massa †</v>
          </cell>
          <cell r="C86" t="str">
            <v>ZERO</v>
          </cell>
          <cell r="D86" t="str">
            <v>ZERO</v>
          </cell>
        </row>
        <row r="87">
          <cell r="A87">
            <v>226</v>
          </cell>
          <cell r="B87" t="str">
            <v>CICLOTETRAMETILENOTETRANITRAMINA  (HMX</v>
          </cell>
        </row>
        <row r="88">
          <cell r="A88">
            <v>234</v>
          </cell>
          <cell r="B88" t="str">
            <v>DINITRO-o-CRESOLATO DE SÓDIO, seco ou umedecido com menos de 15% de água, em massa †</v>
          </cell>
          <cell r="C88">
            <v>20</v>
          </cell>
          <cell r="D88" t="str">
            <v>ZERO</v>
          </cell>
        </row>
        <row r="89">
          <cell r="A89">
            <v>235</v>
          </cell>
          <cell r="B89" t="str">
            <v>PICRAMATO DE SÓDIO, seco ou umedecido com menos de 20% de água, em massa †</v>
          </cell>
          <cell r="C89">
            <v>20</v>
          </cell>
          <cell r="D89" t="str">
            <v>ZERO</v>
          </cell>
        </row>
        <row r="90">
          <cell r="A90">
            <v>236</v>
          </cell>
          <cell r="B90" t="str">
            <v>PICRAMATO DE ZIRCÔNIO, seco ou umedecido com menos de 20% de água, em massa †</v>
          </cell>
          <cell r="C90">
            <v>20</v>
          </cell>
          <cell r="D90" t="str">
            <v>ZERO</v>
          </cell>
        </row>
        <row r="91">
          <cell r="A91">
            <v>237</v>
          </cell>
          <cell r="B91" t="str">
            <v>CARGAS, MOLDADAS, FLEXÍVEIS, LINEARES †</v>
          </cell>
          <cell r="C91">
            <v>333</v>
          </cell>
          <cell r="D91" t="str">
            <v>ZERO</v>
          </cell>
        </row>
        <row r="92">
          <cell r="A92">
            <v>241</v>
          </cell>
          <cell r="B92" t="str">
            <v>EXPLOSIVOS, DE DEMOLIÇÃO, TIPO E †</v>
          </cell>
          <cell r="C92">
            <v>20</v>
          </cell>
          <cell r="D92" t="str">
            <v>ZERO</v>
          </cell>
        </row>
        <row r="93">
          <cell r="A93">
            <v>247</v>
          </cell>
          <cell r="B93" t="str">
            <v>MUNIÇÃO, INCENDIÁRIA, líquida ou gel, com ruptor, carga ejetora ou carga propelente †</v>
          </cell>
          <cell r="C93">
            <v>20</v>
          </cell>
          <cell r="D93" t="str">
            <v>ZERO</v>
          </cell>
        </row>
        <row r="94">
          <cell r="A94">
            <v>254</v>
          </cell>
          <cell r="B94" t="str">
            <v>MUNIÇÃO, ILUMINANTE com ou sem ruptor, carga ejetora ou carga propelente †</v>
          </cell>
          <cell r="C94">
            <v>20</v>
          </cell>
          <cell r="D94" t="str">
            <v>ZERO</v>
          </cell>
        </row>
        <row r="95">
          <cell r="A95">
            <v>255</v>
          </cell>
          <cell r="B95" t="str">
            <v>DETONADORES, ELÉTRICOS para demolição †</v>
          </cell>
          <cell r="C95">
            <v>333</v>
          </cell>
          <cell r="D95" t="str">
            <v>ZERO</v>
          </cell>
        </row>
        <row r="96">
          <cell r="A96">
            <v>257</v>
          </cell>
          <cell r="B96" t="str">
            <v>ESTOPILHA, DE DETONAÇÃO †</v>
          </cell>
          <cell r="C96">
            <v>333</v>
          </cell>
          <cell r="D96" t="str">
            <v>ZERO</v>
          </cell>
        </row>
        <row r="97">
          <cell r="A97">
            <v>266</v>
          </cell>
          <cell r="B97" t="str">
            <v>OCTOLITA (OCTOL), seca ou umedecida com menos de 15% de água, em massa †</v>
          </cell>
          <cell r="C97">
            <v>20</v>
          </cell>
          <cell r="D97" t="str">
            <v>ZERO</v>
          </cell>
        </row>
        <row r="98">
          <cell r="A98">
            <v>267</v>
          </cell>
          <cell r="B98" t="str">
            <v>DETONADORES, NÃO ELÉTRICOS para demolição †</v>
          </cell>
          <cell r="C98">
            <v>333</v>
          </cell>
          <cell r="D98" t="str">
            <v>ZERO</v>
          </cell>
        </row>
        <row r="99">
          <cell r="A99">
            <v>276</v>
          </cell>
          <cell r="B99" t="str">
            <v>CARTUCHOS, PARA DISPOSITIVO MECÂNICO †</v>
          </cell>
          <cell r="C99">
            <v>333</v>
          </cell>
          <cell r="D99" t="str">
            <v>ZERO</v>
          </cell>
        </row>
        <row r="100">
          <cell r="A100">
            <v>277</v>
          </cell>
          <cell r="B100" t="str">
            <v>CARTUCHOS, PARA POÇOS DE PETRÓLEO †</v>
          </cell>
          <cell r="C100">
            <v>20</v>
          </cell>
          <cell r="D100" t="str">
            <v>ZERO</v>
          </cell>
        </row>
        <row r="101">
          <cell r="A101">
            <v>278</v>
          </cell>
          <cell r="B101" t="str">
            <v>CARTUCHOS, PARA POÇOS DE PETRÓLEO †</v>
          </cell>
          <cell r="C101">
            <v>333</v>
          </cell>
          <cell r="D101" t="str">
            <v>ZERO</v>
          </cell>
        </row>
        <row r="102">
          <cell r="A102">
            <v>282</v>
          </cell>
          <cell r="B102" t="str">
            <v>NITROGUANIDINA (PICRITA), seca ou umedecida com menos de 20% de água, em massa †</v>
          </cell>
          <cell r="C102">
            <v>20</v>
          </cell>
          <cell r="D102" t="str">
            <v>ZERO</v>
          </cell>
        </row>
        <row r="103">
          <cell r="A103">
            <v>288</v>
          </cell>
          <cell r="B103" t="str">
            <v>CARGAS, MOLDADAS, FLEXÍVEIS, LINEARES †</v>
          </cell>
          <cell r="C103">
            <v>20</v>
          </cell>
          <cell r="D103" t="str">
            <v>ZERO</v>
          </cell>
        </row>
        <row r="104">
          <cell r="A104">
            <v>289</v>
          </cell>
          <cell r="B104" t="str">
            <v>CORDEL, DETONANTE, flexível †</v>
          </cell>
          <cell r="C104">
            <v>333</v>
          </cell>
          <cell r="D104" t="str">
            <v>ZERO</v>
          </cell>
        </row>
        <row r="105">
          <cell r="A105">
            <v>297</v>
          </cell>
          <cell r="B105" t="str">
            <v>MUNIÇÃO, ILUMINANTE com ou sem ruptor, carga ejetora ou carga propelente †</v>
          </cell>
          <cell r="C105">
            <v>333</v>
          </cell>
          <cell r="D105" t="str">
            <v>ZERO</v>
          </cell>
        </row>
        <row r="106">
          <cell r="A106">
            <v>300</v>
          </cell>
          <cell r="B106" t="str">
            <v>MUNIÇÃO, INCENDIÁRIA com ou sem ruptor, carga ejetora ou carga propelente †</v>
          </cell>
          <cell r="C106">
            <v>333</v>
          </cell>
          <cell r="D106" t="str">
            <v>ZERO</v>
          </cell>
        </row>
        <row r="107">
          <cell r="A107">
            <v>301</v>
          </cell>
          <cell r="B107" t="str">
            <v>MUNIÇÃO, LACRIMOGÊNEA com ruptor, carga ejetora ou carga propelente †</v>
          </cell>
          <cell r="C107">
            <v>333</v>
          </cell>
          <cell r="D107" t="str">
            <v>ZERO</v>
          </cell>
        </row>
        <row r="108">
          <cell r="A108">
            <v>303</v>
          </cell>
          <cell r="B108" t="str">
            <v>MUNIÇÃO, FUMÍGENA com ou sem ruptor, carga ejetora ou carga propelente †</v>
          </cell>
          <cell r="C108">
            <v>333</v>
          </cell>
          <cell r="D108" t="str">
            <v>ZERO</v>
          </cell>
        </row>
        <row r="109">
          <cell r="A109">
            <v>306</v>
          </cell>
          <cell r="B109" t="str">
            <v>TRAÇANTES PARA MUNIÇÃO †</v>
          </cell>
          <cell r="C109">
            <v>333</v>
          </cell>
          <cell r="D109" t="str">
            <v>ZERO</v>
          </cell>
        </row>
        <row r="110">
          <cell r="A110">
            <v>312</v>
          </cell>
          <cell r="B110" t="str">
            <v>CARTUCHOS, PARA SINALIZAÇÃO †</v>
          </cell>
          <cell r="C110">
            <v>333</v>
          </cell>
          <cell r="D110" t="str">
            <v>ZERO</v>
          </cell>
        </row>
        <row r="111">
          <cell r="A111">
            <v>316</v>
          </cell>
          <cell r="B111" t="str">
            <v>ESTOPILHA, DE IGNIÇÃO †</v>
          </cell>
          <cell r="C111">
            <v>20</v>
          </cell>
          <cell r="D111" t="str">
            <v>ZERO</v>
          </cell>
        </row>
        <row r="112">
          <cell r="A112">
            <v>317</v>
          </cell>
          <cell r="B112" t="str">
            <v>ESTOPILHA, DE IGNIÇÃO †</v>
          </cell>
          <cell r="C112">
            <v>333</v>
          </cell>
          <cell r="D112" t="str">
            <v>ZERO</v>
          </cell>
        </row>
        <row r="113">
          <cell r="A113">
            <v>319</v>
          </cell>
          <cell r="B113" t="str">
            <v>INICIADORES, TUBULARES †</v>
          </cell>
          <cell r="C113">
            <v>20</v>
          </cell>
          <cell r="D113" t="str">
            <v>ZERO</v>
          </cell>
        </row>
        <row r="114">
          <cell r="A114">
            <v>320</v>
          </cell>
          <cell r="B114" t="str">
            <v>INICIADORES, TUBULARES †</v>
          </cell>
          <cell r="C114">
            <v>333</v>
          </cell>
          <cell r="D114" t="str">
            <v>ZERO</v>
          </cell>
        </row>
        <row r="115">
          <cell r="A115">
            <v>321</v>
          </cell>
          <cell r="B115" t="str">
            <v>PÓLVORA, SEM FUMAÇA†</v>
          </cell>
          <cell r="C115">
            <v>20</v>
          </cell>
          <cell r="D115" t="str">
            <v>ZERO</v>
          </cell>
        </row>
        <row r="116">
          <cell r="A116">
            <v>323</v>
          </cell>
          <cell r="B116" t="str">
            <v>CARTUCHOS, PARA DISPOSITIVO MECÂNICO †</v>
          </cell>
          <cell r="C116" t="str">
            <v>ILIMITADA</v>
          </cell>
          <cell r="D116" t="str">
            <v>ZERO</v>
          </cell>
        </row>
        <row r="117">
          <cell r="A117">
            <v>325</v>
          </cell>
          <cell r="B117" t="str">
            <v>REFORÇADORES sem detonador †</v>
          </cell>
          <cell r="C117">
            <v>20</v>
          </cell>
          <cell r="D117" t="str">
            <v>ZERO</v>
          </cell>
        </row>
        <row r="118">
          <cell r="A118">
            <v>325</v>
          </cell>
          <cell r="B118" t="str">
            <v>ACENDEDORES †</v>
          </cell>
          <cell r="C118">
            <v>333</v>
          </cell>
          <cell r="D118" t="str">
            <v>ZERO</v>
          </cell>
        </row>
        <row r="119">
          <cell r="A119">
            <v>327</v>
          </cell>
          <cell r="B119" t="str">
            <v>CARTUCHOS PARA ARMAS, FESTIM ou CARTUCHOS, ARMAS PORTÁTEIS, FESTIM †</v>
          </cell>
          <cell r="C119">
            <v>20</v>
          </cell>
          <cell r="D119" t="str">
            <v>ZERO</v>
          </cell>
        </row>
        <row r="120">
          <cell r="A120">
            <v>328</v>
          </cell>
          <cell r="B120" t="str">
            <v>CARTUCHOS PARA ARMAS, PROJÉTEIS INERTES †</v>
          </cell>
          <cell r="C120">
            <v>20</v>
          </cell>
          <cell r="D120" t="str">
            <v>ZERO</v>
          </cell>
        </row>
        <row r="121">
          <cell r="A121">
            <v>331</v>
          </cell>
          <cell r="B121" t="str">
            <v>EXPLOSIVOS, DE DEMOLIÇÃO, TIPO B † (AGENTE, DE DEMOLIÇÃO, TIPO B)</v>
          </cell>
          <cell r="C121">
            <v>20</v>
          </cell>
          <cell r="D121" t="str">
            <v>ZERO</v>
          </cell>
        </row>
        <row r="122">
          <cell r="A122">
            <v>332</v>
          </cell>
          <cell r="B122" t="str">
            <v>EXPLOSIVOS, DE DEMOLIÇÃO, TIPO E † (AGENTE, DE DEMOLIÇÃO, TIPO E)</v>
          </cell>
          <cell r="C122">
            <v>20</v>
          </cell>
          <cell r="D122" t="str">
            <v>ZERO</v>
          </cell>
        </row>
        <row r="123">
          <cell r="A123">
            <v>336</v>
          </cell>
          <cell r="B123" t="str">
            <v>FOGOS DE ARTIFÍCIO †</v>
          </cell>
          <cell r="C123">
            <v>333</v>
          </cell>
          <cell r="D123" t="str">
            <v>ZERO</v>
          </cell>
        </row>
        <row r="124">
          <cell r="A124">
            <v>337</v>
          </cell>
          <cell r="B124" t="str">
            <v>FOGOS DE ARTIFÍCIO †</v>
          </cell>
          <cell r="C124" t="str">
            <v>ILIMITADA</v>
          </cell>
          <cell r="D124" t="str">
            <v>ZERO</v>
          </cell>
        </row>
        <row r="125">
          <cell r="A125">
            <v>338</v>
          </cell>
          <cell r="B125" t="str">
            <v>CARTUCHOS PARA ARMAS, FESTIM ou CARTUCHOS, PARA ARMAS PORTÁTEIS, FESTIM †</v>
          </cell>
          <cell r="C125">
            <v>333</v>
          </cell>
          <cell r="D125" t="str">
            <v>ZERO</v>
          </cell>
        </row>
        <row r="126">
          <cell r="A126">
            <v>339</v>
          </cell>
          <cell r="B126" t="str">
            <v>CARTUCHOS PARA ARMAS com carga de ruptura †</v>
          </cell>
          <cell r="C126">
            <v>20</v>
          </cell>
          <cell r="D126" t="str">
            <v>ZERO</v>
          </cell>
        </row>
        <row r="127">
          <cell r="A127">
            <v>339</v>
          </cell>
          <cell r="B127" t="str">
            <v>CARTUCHOS PARA ARMAS, PROJÉTEIS INERTES ou CARTUCHOS, PARA ARMAS PORTÁTEIS †</v>
          </cell>
          <cell r="C127">
            <v>333</v>
          </cell>
          <cell r="D127" t="str">
            <v>ZERO</v>
          </cell>
        </row>
        <row r="128">
          <cell r="A128">
            <v>340</v>
          </cell>
          <cell r="B128" t="str">
            <v>NITROCELULOSE, seca ou umedecida com menos de 25% de água (ou álcool), em massa †</v>
          </cell>
          <cell r="C128">
            <v>20</v>
          </cell>
          <cell r="D128" t="str">
            <v>ZERO</v>
          </cell>
        </row>
        <row r="129">
          <cell r="A129">
            <v>341</v>
          </cell>
          <cell r="B129" t="str">
            <v>NITROCELULOSE, não-modificada, ou plastificada com menos de 18% de substância plastificante, em massa †</v>
          </cell>
          <cell r="C129">
            <v>20</v>
          </cell>
          <cell r="D129" t="str">
            <v>ZERO</v>
          </cell>
        </row>
        <row r="130">
          <cell r="A130">
            <v>342</v>
          </cell>
          <cell r="B130" t="str">
            <v>NITROCELULOSE, UMEDECIDA com no mínimo 25% de álcool, em massa †</v>
          </cell>
          <cell r="C130">
            <v>20</v>
          </cell>
          <cell r="D130" t="str">
            <v>ZERO</v>
          </cell>
        </row>
        <row r="131">
          <cell r="A131">
            <v>343</v>
          </cell>
          <cell r="B131" t="str">
            <v>NITROCELULOSE, PLASTIFICADA com no mínimo 18% de substância plastificante, em massa †</v>
          </cell>
          <cell r="C131">
            <v>20</v>
          </cell>
          <cell r="D131" t="str">
            <v>ZERO</v>
          </cell>
        </row>
        <row r="132">
          <cell r="A132">
            <v>344</v>
          </cell>
          <cell r="B132" t="str">
            <v>PROJÉTEIS com carga de ruptura †</v>
          </cell>
          <cell r="C132">
            <v>333</v>
          </cell>
          <cell r="D132" t="str">
            <v>ZERO</v>
          </cell>
        </row>
        <row r="133">
          <cell r="A133">
            <v>345</v>
          </cell>
          <cell r="B133" t="str">
            <v>PROJÉTEIS inertes, com traçante †</v>
          </cell>
          <cell r="C133" t="str">
            <v>ILIMITADA</v>
          </cell>
          <cell r="D133" t="str">
            <v>ZERO</v>
          </cell>
        </row>
        <row r="134">
          <cell r="A134">
            <v>349</v>
          </cell>
          <cell r="B134" t="str">
            <v>ARTIGOS, EXPLOSIVOS, N.E.</v>
          </cell>
          <cell r="C134" t="str">
            <v>ILIMITADA</v>
          </cell>
          <cell r="D134" t="str">
            <v>ZERO</v>
          </cell>
        </row>
        <row r="135">
          <cell r="A135">
            <v>360</v>
          </cell>
          <cell r="B135" t="str">
            <v>DETONADORES CONJUNTOS MONTADOS, NÃO ELÉTRICOS para demolição †</v>
          </cell>
          <cell r="C135">
            <v>20</v>
          </cell>
          <cell r="D135" t="str">
            <v>ZERO</v>
          </cell>
        </row>
        <row r="136">
          <cell r="A136">
            <v>361</v>
          </cell>
          <cell r="B136" t="str">
            <v>DETONADORES CONJUNTOS MONTADOS, NÃO ELÉTRICOS para demolição †</v>
          </cell>
          <cell r="C136">
            <v>333</v>
          </cell>
          <cell r="D136" t="str">
            <v>ZERO</v>
          </cell>
        </row>
        <row r="137">
          <cell r="A137">
            <v>362</v>
          </cell>
          <cell r="B137" t="str">
            <v>MUNIÇÃO, PARA EXERCÍCIO †</v>
          </cell>
          <cell r="C137">
            <v>333</v>
          </cell>
          <cell r="D137" t="str">
            <v>ZERO</v>
          </cell>
        </row>
        <row r="138">
          <cell r="A138">
            <v>363</v>
          </cell>
          <cell r="B138" t="str">
            <v>MUNIÇÃO, PARA PROVA †</v>
          </cell>
          <cell r="C138">
            <v>333</v>
          </cell>
          <cell r="D138" t="str">
            <v>ZERO</v>
          </cell>
        </row>
        <row r="139">
          <cell r="A139">
            <v>365</v>
          </cell>
          <cell r="B139" t="str">
            <v>DETONADORES PARA MUNIÇÃO †</v>
          </cell>
          <cell r="C139">
            <v>333</v>
          </cell>
          <cell r="D139" t="str">
            <v>ZERO</v>
          </cell>
        </row>
        <row r="140">
          <cell r="A140">
            <v>366</v>
          </cell>
          <cell r="B140" t="str">
            <v>DETONADORES PARA MUNIÇÃO †</v>
          </cell>
          <cell r="C140" t="str">
            <v>ILIMITADA</v>
          </cell>
          <cell r="D140" t="str">
            <v>ZERO</v>
          </cell>
        </row>
        <row r="141">
          <cell r="A141">
            <v>367</v>
          </cell>
          <cell r="B141" t="str">
            <v>ESTOPILHA, DE DETONAÇÃO †</v>
          </cell>
          <cell r="C141" t="str">
            <v>ILIMITADA</v>
          </cell>
          <cell r="D141" t="str">
            <v>ZERO</v>
          </cell>
        </row>
        <row r="142">
          <cell r="A142">
            <v>368</v>
          </cell>
          <cell r="B142" t="str">
            <v>ESTOPILHA, DE IGNIÇÃO †</v>
          </cell>
          <cell r="C142" t="str">
            <v>ILIMITADA</v>
          </cell>
          <cell r="D142" t="str">
            <v>ZERO</v>
          </cell>
        </row>
        <row r="143">
          <cell r="A143">
            <v>373</v>
          </cell>
          <cell r="B143" t="str">
            <v>SINALIZADORES, MANUAIS †</v>
          </cell>
          <cell r="C143" t="str">
            <v>ILIMITADA</v>
          </cell>
          <cell r="D143" t="str">
            <v>ZERO</v>
          </cell>
        </row>
        <row r="144">
          <cell r="A144">
            <v>376</v>
          </cell>
          <cell r="B144" t="str">
            <v>BOMBAS, FOTO-ILUMINANTES †</v>
          </cell>
          <cell r="C144">
            <v>20</v>
          </cell>
          <cell r="D144" t="str">
            <v>ZERO</v>
          </cell>
        </row>
        <row r="145">
          <cell r="A145">
            <v>376</v>
          </cell>
          <cell r="B145" t="str">
            <v>INICIADORES, TUBULARES †</v>
          </cell>
          <cell r="C145" t="str">
            <v>ILIMITADA</v>
          </cell>
          <cell r="D145" t="str">
            <v>ZERO</v>
          </cell>
        </row>
        <row r="146">
          <cell r="A146">
            <v>377</v>
          </cell>
          <cell r="B146" t="str">
            <v>INICIADORES, TIPO CÁPSULA †</v>
          </cell>
          <cell r="C146">
            <v>20</v>
          </cell>
          <cell r="D146" t="str">
            <v>ZERO</v>
          </cell>
        </row>
        <row r="147">
          <cell r="A147">
            <v>378</v>
          </cell>
          <cell r="B147" t="str">
            <v>INICIADORES, TIPO CÁPSULA †</v>
          </cell>
          <cell r="C147">
            <v>333</v>
          </cell>
          <cell r="D147" t="str">
            <v>ZERO</v>
          </cell>
        </row>
        <row r="148">
          <cell r="A148">
            <v>379</v>
          </cell>
          <cell r="B148" t="str">
            <v>ESTOJOS, DE CARTUCHOS, VAZIOS, COM INICIADOR †</v>
          </cell>
          <cell r="C148">
            <v>333</v>
          </cell>
          <cell r="D148" t="str">
            <v>ZERO</v>
          </cell>
        </row>
        <row r="149">
          <cell r="A149">
            <v>380</v>
          </cell>
          <cell r="B149" t="str">
            <v>ARTIGOS, PIROFÓRICOS †</v>
          </cell>
          <cell r="C149" t="str">
            <v>ZERO</v>
          </cell>
          <cell r="D149" t="str">
            <v>ZERO</v>
          </cell>
        </row>
        <row r="150">
          <cell r="A150">
            <v>383</v>
          </cell>
          <cell r="B150" t="str">
            <v>EXPLOSIVOS, COMPONENTES DE CADEIA, N.E. †</v>
          </cell>
          <cell r="C150">
            <v>333</v>
          </cell>
          <cell r="D150" t="str">
            <v>ZERO</v>
          </cell>
        </row>
        <row r="151">
          <cell r="A151">
            <v>384</v>
          </cell>
          <cell r="B151" t="str">
            <v>EXPLOSIVOS, COMPONENTES DE CADEIA, N.E. †</v>
          </cell>
          <cell r="C151" t="str">
            <v>ILIMITADA</v>
          </cell>
          <cell r="D151" t="str">
            <v>ZERO</v>
          </cell>
        </row>
        <row r="152">
          <cell r="A152">
            <v>385</v>
          </cell>
          <cell r="B152" t="str">
            <v>5-NITROBENZOTRIAZOL †</v>
          </cell>
          <cell r="C152">
            <v>20</v>
          </cell>
          <cell r="D152" t="str">
            <v>ZERO</v>
          </cell>
        </row>
        <row r="153">
          <cell r="A153">
            <v>386</v>
          </cell>
          <cell r="B153" t="str">
            <v>ÁCIDO TRINITROBENZENOSSULFÔNICO †</v>
          </cell>
          <cell r="C153">
            <v>20</v>
          </cell>
          <cell r="D153" t="str">
            <v>ZERO</v>
          </cell>
        </row>
        <row r="154">
          <cell r="A154">
            <v>387</v>
          </cell>
          <cell r="B154" t="str">
            <v>TRINITROFLUORENONA †</v>
          </cell>
          <cell r="C154">
            <v>20</v>
          </cell>
          <cell r="D154" t="str">
            <v>ZERO</v>
          </cell>
        </row>
        <row r="155">
          <cell r="A155">
            <v>388</v>
          </cell>
          <cell r="B155" t="str">
            <v>MISTURA DE TRINITROTOLUENO (TNT) E TRINITRO-BENZENO, ou MISTURA DE TRINITROTOLUENO (TNT) E HEXANITROESTILBENO †</v>
          </cell>
          <cell r="C155">
            <v>20</v>
          </cell>
          <cell r="D155" t="str">
            <v>ZERO</v>
          </cell>
        </row>
        <row r="156">
          <cell r="A156">
            <v>389</v>
          </cell>
          <cell r="B156" t="str">
            <v>MISTURA DE TRINITROTOLUENO (TNT) CONTENDO TRINITROBENZENO E HEXANITROESTILBENO †</v>
          </cell>
          <cell r="C156">
            <v>20</v>
          </cell>
          <cell r="D156" t="str">
            <v>ZERO</v>
          </cell>
        </row>
        <row r="157">
          <cell r="A157">
            <v>389</v>
          </cell>
          <cell r="B157" t="str">
            <v>SINALIZADORES, DE EMERGÊNCIA, para navios †</v>
          </cell>
          <cell r="C157">
            <v>20</v>
          </cell>
          <cell r="D157" t="str">
            <v>ZERO</v>
          </cell>
        </row>
        <row r="158">
          <cell r="A158">
            <v>390</v>
          </cell>
          <cell r="B158" t="str">
            <v>TRITONAL †</v>
          </cell>
          <cell r="C158">
            <v>20</v>
          </cell>
          <cell r="D158" t="str">
            <v>ZERO</v>
          </cell>
        </row>
        <row r="159">
          <cell r="A159">
            <v>391</v>
          </cell>
          <cell r="B159" t="str">
            <v>CICLOTRIMETILENOTRINITRAMINA                   (CICLONITA</v>
          </cell>
        </row>
        <row r="160">
          <cell r="A160">
            <v>392</v>
          </cell>
          <cell r="B160" t="str">
            <v>CORDEL (ESTOPIM), DETONANTE, com revestimento metálico †</v>
          </cell>
          <cell r="C160">
            <v>20</v>
          </cell>
          <cell r="D160" t="str">
            <v>ZERO</v>
          </cell>
        </row>
        <row r="161">
          <cell r="A161">
            <v>392</v>
          </cell>
          <cell r="B161" t="str">
            <v>HEXANITROESTILBENO †</v>
          </cell>
          <cell r="C161">
            <v>20</v>
          </cell>
          <cell r="D161" t="str">
            <v>ZERO</v>
          </cell>
        </row>
        <row r="162">
          <cell r="A162">
            <v>393</v>
          </cell>
          <cell r="B162" t="str">
            <v>BOMBAS com carga de ruptura †</v>
          </cell>
          <cell r="C162">
            <v>20</v>
          </cell>
          <cell r="D162" t="str">
            <v>ZERO</v>
          </cell>
        </row>
        <row r="163">
          <cell r="A163">
            <v>393</v>
          </cell>
          <cell r="B163" t="str">
            <v>HEXOTONAL †</v>
          </cell>
          <cell r="C163">
            <v>20</v>
          </cell>
          <cell r="D163" t="str">
            <v>ZERO</v>
          </cell>
        </row>
        <row r="164">
          <cell r="A164">
            <v>394</v>
          </cell>
          <cell r="B164" t="str">
            <v>TRINITRO-RESORCINOL  (ÁCIDO  ESTIFÍNICO),  UMEDECIDO  com  no  mínimo  20%  de  água,  ou  mistura  de  álcool e água, em massa †</v>
          </cell>
          <cell r="C164">
            <v>20</v>
          </cell>
          <cell r="D164" t="str">
            <v>ZERO</v>
          </cell>
        </row>
        <row r="165">
          <cell r="A165">
            <v>399</v>
          </cell>
          <cell r="B165" t="str">
            <v>COMPOSIÇÃO ILUMINANTE EM PÓ †</v>
          </cell>
          <cell r="C165">
            <v>20</v>
          </cell>
          <cell r="D165" t="str">
            <v>ZERO</v>
          </cell>
        </row>
        <row r="166">
          <cell r="A166">
            <v>401</v>
          </cell>
          <cell r="B166" t="str">
            <v>SULFETO DE DIPICRILA, seco ou umedecido com menos de 10% de água, em massa †</v>
          </cell>
          <cell r="C166">
            <v>20</v>
          </cell>
          <cell r="D166" t="str">
            <v>ZERO</v>
          </cell>
        </row>
        <row r="167">
          <cell r="A167">
            <v>402</v>
          </cell>
          <cell r="B167" t="str">
            <v>PERCLORATO DE AMÔNIO †</v>
          </cell>
          <cell r="C167">
            <v>20</v>
          </cell>
          <cell r="D167" t="str">
            <v>ZERO</v>
          </cell>
        </row>
        <row r="168">
          <cell r="A168">
            <v>403</v>
          </cell>
          <cell r="B168" t="str">
            <v>FACHOS DE SINALIZAÇÃO, AÉREOS †</v>
          </cell>
          <cell r="C168">
            <v>333</v>
          </cell>
          <cell r="D168" t="str">
            <v>ZERO</v>
          </cell>
        </row>
        <row r="169">
          <cell r="A169">
            <v>404</v>
          </cell>
          <cell r="B169" t="str">
            <v>FACHOS DE SINALIZAÇÃO, AÉREOS †</v>
          </cell>
          <cell r="C169" t="str">
            <v>ILIMITADA</v>
          </cell>
          <cell r="D169" t="str">
            <v>ZERO</v>
          </cell>
        </row>
        <row r="170">
          <cell r="A170">
            <v>405</v>
          </cell>
          <cell r="B170" t="str">
            <v>CARTUCHOS, PARA SINALIZAÇÃO †</v>
          </cell>
          <cell r="C170" t="str">
            <v>ILIMITADA</v>
          </cell>
          <cell r="D170" t="str">
            <v>ZERO</v>
          </cell>
        </row>
        <row r="171">
          <cell r="A171">
            <v>406</v>
          </cell>
          <cell r="B171" t="str">
            <v>DINITROSOBENZENO †</v>
          </cell>
          <cell r="C171">
            <v>20</v>
          </cell>
          <cell r="D171" t="str">
            <v>ZERO</v>
          </cell>
        </row>
        <row r="172">
          <cell r="A172">
            <v>407</v>
          </cell>
          <cell r="B172" t="str">
            <v>ÁCIDO TETRAZOL-1-ACÉTICO †</v>
          </cell>
          <cell r="C172">
            <v>333</v>
          </cell>
          <cell r="D172" t="str">
            <v>ZERO</v>
          </cell>
        </row>
        <row r="173">
          <cell r="A173">
            <v>410</v>
          </cell>
          <cell r="B173" t="str">
            <v>ESTOPILHAS, DE DETONAÇÃO, com dispositivo de proteção †</v>
          </cell>
          <cell r="C173">
            <v>333</v>
          </cell>
          <cell r="D173" t="str">
            <v>ZERO</v>
          </cell>
        </row>
        <row r="174">
          <cell r="A174">
            <v>411</v>
          </cell>
          <cell r="B174" t="str">
            <v>TETRANITRATO DE PENTAERITRITA (TETRANITRATO DE PENTAERITRITOL</v>
          </cell>
        </row>
        <row r="175">
          <cell r="A175">
            <v>417</v>
          </cell>
          <cell r="B175" t="str">
            <v>CARTUCHOS PARA ARMAS, PROJÉTEIS INERTES ou CARTUCHOS, PARA ARMAS PORTÁTEIS †</v>
          </cell>
          <cell r="C175">
            <v>20</v>
          </cell>
          <cell r="D175" t="str">
            <v>ZERO</v>
          </cell>
        </row>
        <row r="176">
          <cell r="A176">
            <v>424</v>
          </cell>
          <cell r="B176" t="str">
            <v>PROJÉTEIS, inertes com traçante †</v>
          </cell>
          <cell r="C176">
            <v>20</v>
          </cell>
          <cell r="D176" t="str">
            <v>ZERO</v>
          </cell>
        </row>
        <row r="177">
          <cell r="A177">
            <v>425</v>
          </cell>
          <cell r="B177" t="str">
            <v>PROJÉTEIS, inertes com traçante †</v>
          </cell>
          <cell r="C177">
            <v>333</v>
          </cell>
          <cell r="D177" t="str">
            <v>ZERO</v>
          </cell>
        </row>
        <row r="178">
          <cell r="A178">
            <v>431</v>
          </cell>
          <cell r="B178" t="str">
            <v>ARTIGOS, PIROTÉCNICOS para fins técnicos †</v>
          </cell>
          <cell r="C178">
            <v>333</v>
          </cell>
          <cell r="D178" t="str">
            <v>ZERO</v>
          </cell>
        </row>
        <row r="179">
          <cell r="A179">
            <v>432</v>
          </cell>
          <cell r="B179" t="str">
            <v>ARTIGOS, PIROTÉCNICOS para fins técnicos †</v>
          </cell>
          <cell r="C179" t="str">
            <v>ILIMITADA</v>
          </cell>
          <cell r="D179" t="str">
            <v>ZERO</v>
          </cell>
        </row>
        <row r="180">
          <cell r="A180">
            <v>433</v>
          </cell>
          <cell r="B180" t="str">
            <v>PÓLVORA EM PASTA, UMEDECIDA com no mínimo 17% de álcool, em massa †</v>
          </cell>
          <cell r="C180">
            <v>20</v>
          </cell>
          <cell r="D180" t="str">
            <v>ZERO</v>
          </cell>
        </row>
        <row r="181">
          <cell r="A181">
            <v>437</v>
          </cell>
          <cell r="B181" t="str">
            <v>DETONADORES PARA MUNIÇÃO †</v>
          </cell>
          <cell r="C181">
            <v>20</v>
          </cell>
          <cell r="D181" t="str">
            <v>ZERO</v>
          </cell>
        </row>
        <row r="182">
          <cell r="A182">
            <v>438</v>
          </cell>
          <cell r="B182" t="str">
            <v>FOGUETES com carga ejetora †</v>
          </cell>
          <cell r="C182">
            <v>333</v>
          </cell>
          <cell r="D182" t="str">
            <v>ZERO</v>
          </cell>
        </row>
        <row r="183">
          <cell r="A183">
            <v>440</v>
          </cell>
          <cell r="B183" t="str">
            <v>CARGAS, MOLDADAS sem detonador †</v>
          </cell>
          <cell r="C183">
            <v>333</v>
          </cell>
          <cell r="D183" t="str">
            <v>ZERO</v>
          </cell>
        </row>
        <row r="184">
          <cell r="A184">
            <v>441</v>
          </cell>
          <cell r="B184" t="str">
            <v>CARGAS, MOLDADAS sem detonador †</v>
          </cell>
          <cell r="C184" t="str">
            <v>ILIMITADA</v>
          </cell>
          <cell r="D184" t="str">
            <v>ZERO</v>
          </cell>
        </row>
        <row r="185">
          <cell r="A185">
            <v>444</v>
          </cell>
          <cell r="B185" t="str">
            <v>CARGAS, EXPLOSIVAS, COMERCIAIS sem detonador †</v>
          </cell>
          <cell r="C185">
            <v>333</v>
          </cell>
          <cell r="D185" t="str">
            <v>ZERO</v>
          </cell>
        </row>
        <row r="186">
          <cell r="A186">
            <v>445</v>
          </cell>
          <cell r="B186" t="str">
            <v>CARGAS, EXPLOSIVAS, COMERCIAIS sem detonador †</v>
          </cell>
          <cell r="C186" t="str">
            <v>ILIMITADA</v>
          </cell>
          <cell r="D186" t="str">
            <v>ZERO</v>
          </cell>
        </row>
        <row r="187">
          <cell r="A187">
            <v>446</v>
          </cell>
          <cell r="B187" t="str">
            <v>ESTOJOS, COMBUSTÍVEIS, VAZIOS, SEM INICIADOR †</v>
          </cell>
          <cell r="C187">
            <v>333</v>
          </cell>
          <cell r="D187" t="str">
            <v>ZERO</v>
          </cell>
        </row>
        <row r="188">
          <cell r="A188">
            <v>447</v>
          </cell>
          <cell r="B188" t="str">
            <v>ESTOJOS, COMBUSTÍVEIS, VAZIOS, SEM INICIADOR †</v>
          </cell>
          <cell r="C188">
            <v>20</v>
          </cell>
          <cell r="D188" t="str">
            <v>ZERO</v>
          </cell>
        </row>
        <row r="189">
          <cell r="A189">
            <v>448</v>
          </cell>
          <cell r="B189" t="str">
            <v>ÁCIDO 5-MERCAPTOTETRAZOL-1-ACÉTICO †</v>
          </cell>
          <cell r="C189">
            <v>333</v>
          </cell>
          <cell r="D189" t="str">
            <v>ZERO</v>
          </cell>
        </row>
        <row r="190">
          <cell r="A190">
            <v>449</v>
          </cell>
          <cell r="B190" t="str">
            <v>TORPEDOS, COM COMBUSTÍVEL LÍQUIDO com ou sem carga de ruptura †</v>
          </cell>
          <cell r="C190">
            <v>20</v>
          </cell>
          <cell r="D190" t="str">
            <v>ZERO</v>
          </cell>
        </row>
        <row r="191">
          <cell r="A191">
            <v>450</v>
          </cell>
          <cell r="B191" t="str">
            <v>TORPEDOS, COM COMBUSTÍVEL LÍQUIDO com ogiva inerte †</v>
          </cell>
          <cell r="C191">
            <v>20</v>
          </cell>
          <cell r="D191" t="str">
            <v>ZERO</v>
          </cell>
        </row>
        <row r="192">
          <cell r="A192">
            <v>452</v>
          </cell>
          <cell r="B192" t="str">
            <v>GRANADAS, PARA EXERCÍCIO, manuais ou para fuzil †</v>
          </cell>
          <cell r="C192">
            <v>333</v>
          </cell>
          <cell r="D192" t="str">
            <v>ZERO</v>
          </cell>
        </row>
        <row r="193">
          <cell r="A193">
            <v>453</v>
          </cell>
          <cell r="B193" t="str">
            <v>FOGUETES, PARA LANÇAMENTO DE LINHA †</v>
          </cell>
          <cell r="C193">
            <v>333</v>
          </cell>
          <cell r="D193" t="str">
            <v>ZERO</v>
          </cell>
        </row>
        <row r="194">
          <cell r="A194">
            <v>454</v>
          </cell>
          <cell r="B194" t="str">
            <v>ACENDEDORES †</v>
          </cell>
          <cell r="C194" t="str">
            <v>ILIMITADA</v>
          </cell>
          <cell r="D194" t="str">
            <v>ZERO</v>
          </cell>
        </row>
        <row r="195">
          <cell r="A195">
            <v>455</v>
          </cell>
          <cell r="B195" t="str">
            <v>DETONADORES, NÃO ELÉTRICOS para demolição †</v>
          </cell>
          <cell r="C195" t="str">
            <v>ILIMITADA</v>
          </cell>
          <cell r="D195" t="str">
            <v>ZERO</v>
          </cell>
        </row>
        <row r="196">
          <cell r="A196">
            <v>456</v>
          </cell>
          <cell r="B196" t="str">
            <v>DETONADORES, ELÉTRICOS para demolição †</v>
          </cell>
          <cell r="C196" t="str">
            <v>ILIMITADA</v>
          </cell>
          <cell r="D196" t="str">
            <v>ZERO</v>
          </cell>
        </row>
        <row r="197">
          <cell r="A197">
            <v>459</v>
          </cell>
          <cell r="B197" t="str">
            <v>CARGAS, DE RUPTURA, COM AGLUTINANTE PLÁSTICO †</v>
          </cell>
          <cell r="C197">
            <v>333</v>
          </cell>
          <cell r="D197" t="str">
            <v>ZERO</v>
          </cell>
        </row>
        <row r="198">
          <cell r="A198">
            <v>460</v>
          </cell>
          <cell r="B198" t="str">
            <v>CARGAS, DE RUPTURA, COM AGLUTINANTE PLÁSTICO †</v>
          </cell>
          <cell r="C198" t="str">
            <v>ILIMITADA</v>
          </cell>
          <cell r="D198" t="str">
            <v>ZERO</v>
          </cell>
        </row>
        <row r="199">
          <cell r="A199">
            <v>478</v>
          </cell>
          <cell r="B199" t="str">
            <v>FOGUETES, PARA LANÇAMENTO DE LINHA †</v>
          </cell>
          <cell r="C199">
            <v>20</v>
          </cell>
          <cell r="D199" t="str">
            <v>ZERO</v>
          </cell>
        </row>
        <row r="200">
          <cell r="A200">
            <v>481</v>
          </cell>
          <cell r="B200" t="str">
            <v>SUBSTÂNCIAS, EXPLOSIVAS, N.E.</v>
          </cell>
          <cell r="C200" t="str">
            <v>ILIMITADA</v>
          </cell>
          <cell r="D200" t="str">
            <v>ZERO</v>
          </cell>
        </row>
        <row r="201">
          <cell r="A201">
            <v>482</v>
          </cell>
          <cell r="B201" t="str">
            <v>SUBSTÂNCIAS, EXPLOSIVAS, MUITO INSENSÍVEIS (SUBSTÂNCIAS, EMI), N.E. †</v>
          </cell>
          <cell r="C201">
            <v>20</v>
          </cell>
          <cell r="D201" t="str">
            <v>ZERO</v>
          </cell>
        </row>
        <row r="202">
          <cell r="A202">
            <v>483</v>
          </cell>
          <cell r="B202" t="str">
            <v>CICLOTRIMETILENO TRINITRAMINA (CICLONITA</v>
          </cell>
        </row>
        <row r="203">
          <cell r="A203">
            <v>484</v>
          </cell>
          <cell r="B203" t="str">
            <v>CICLOTETRAMETILENO TETRANITRAMINA (HMX</v>
          </cell>
        </row>
        <row r="204">
          <cell r="A204">
            <v>486</v>
          </cell>
          <cell r="B204" t="str">
            <v>ARTIGOS, EXPLOSIVOS, EXTREMAMENTE INSENSÍVEIS (ARTIGOS, EEI) †</v>
          </cell>
          <cell r="C204">
            <v>333</v>
          </cell>
          <cell r="D204" t="str">
            <v>ZERO</v>
          </cell>
        </row>
        <row r="205">
          <cell r="A205">
            <v>487</v>
          </cell>
          <cell r="B205" t="str">
            <v>MUNIÇÃO INCENDIÁRIA, À BASE DE FÓSFORO BRANCO com ruptor, carga ejetora ou carga propelente †</v>
          </cell>
          <cell r="C205">
            <v>20</v>
          </cell>
          <cell r="D205" t="str">
            <v>ZERO</v>
          </cell>
        </row>
        <row r="206">
          <cell r="A206">
            <v>488</v>
          </cell>
          <cell r="B206" t="str">
            <v>MUNIÇÃO, PARA EXERCÍCIO †</v>
          </cell>
          <cell r="C206">
            <v>20</v>
          </cell>
          <cell r="D206" t="str">
            <v>ZERO</v>
          </cell>
        </row>
        <row r="207">
          <cell r="A207">
            <v>489</v>
          </cell>
          <cell r="B207" t="str">
            <v>DINITROGLICOLURILA (DINGU) †</v>
          </cell>
          <cell r="C207">
            <v>20</v>
          </cell>
          <cell r="D207" t="str">
            <v>ZERO</v>
          </cell>
        </row>
        <row r="208">
          <cell r="A208">
            <v>490</v>
          </cell>
          <cell r="B208" t="str">
            <v>NITROTRIAZOLONA (NTO) †</v>
          </cell>
          <cell r="C208">
            <v>20</v>
          </cell>
          <cell r="D208" t="str">
            <v>ZERO</v>
          </cell>
        </row>
        <row r="209">
          <cell r="A209">
            <v>491</v>
          </cell>
          <cell r="B209" t="str">
            <v>MUNIÇÃO, FUMÍGENA, À BASE DE FÓSFORO BRANCO com ruptor, carga ejetora ou carga propelente †</v>
          </cell>
          <cell r="C209">
            <v>20</v>
          </cell>
          <cell r="D209" t="str">
            <v>ZERO</v>
          </cell>
        </row>
        <row r="210">
          <cell r="A210">
            <v>491</v>
          </cell>
          <cell r="B210" t="str">
            <v>CARGAS, PROPELENTES †</v>
          </cell>
          <cell r="C210">
            <v>333</v>
          </cell>
          <cell r="D210" t="str">
            <v>ZERO</v>
          </cell>
        </row>
        <row r="211">
          <cell r="A211">
            <v>493</v>
          </cell>
          <cell r="B211" t="str">
            <v>REFORÇADORES COM DETONADOR †</v>
          </cell>
          <cell r="C211">
            <v>20</v>
          </cell>
          <cell r="D211" t="str">
            <v>ZERO</v>
          </cell>
        </row>
        <row r="212">
          <cell r="A212">
            <v>493</v>
          </cell>
          <cell r="B212" t="str">
            <v>SINALIZADORES, PARA VIAS FÉRREAS, EXPLOSIVOS †</v>
          </cell>
          <cell r="C212">
            <v>333</v>
          </cell>
          <cell r="D212" t="str">
            <v>ZERO</v>
          </cell>
        </row>
        <row r="213">
          <cell r="A213">
            <v>494</v>
          </cell>
          <cell r="B213" t="str">
            <v>CANHÕES PARA JATO-PERFURAÇÃO em poços de petróleo, CARREGADOS, sem detonador †</v>
          </cell>
          <cell r="C213">
            <v>333</v>
          </cell>
          <cell r="D213" t="str">
            <v>ZERO</v>
          </cell>
        </row>
        <row r="214">
          <cell r="A214">
            <v>496</v>
          </cell>
          <cell r="B214" t="str">
            <v>OCTONAL</v>
          </cell>
          <cell r="C214">
            <v>20</v>
          </cell>
          <cell r="D214" t="str">
            <v>ZERO</v>
          </cell>
        </row>
        <row r="215">
          <cell r="A215">
            <v>497</v>
          </cell>
          <cell r="B215" t="str">
            <v>DISPOSITIVOS, ACIONÁVEIS POR ÁGUA com ruptor, carga ejetora ou carga propelente †</v>
          </cell>
          <cell r="C215" t="str">
            <v>ZERO</v>
          </cell>
          <cell r="D215" t="str">
            <v>ZERO</v>
          </cell>
        </row>
        <row r="216">
          <cell r="A216">
            <v>498</v>
          </cell>
          <cell r="B216" t="str">
            <v>CARGAS, MOLDADAS sem detonador †</v>
          </cell>
          <cell r="C216">
            <v>20</v>
          </cell>
          <cell r="D216" t="str">
            <v>ZERO</v>
          </cell>
        </row>
        <row r="217">
          <cell r="A217">
            <v>500</v>
          </cell>
          <cell r="B217" t="str">
            <v>DETONADORES CONJUNTOS MONTADOS, NÃO ELÉTRICOS para demolição †</v>
          </cell>
          <cell r="C217" t="str">
            <v>ILIMITADA</v>
          </cell>
          <cell r="D217" t="str">
            <v>ZERO</v>
          </cell>
        </row>
        <row r="218">
          <cell r="A218">
            <v>501</v>
          </cell>
          <cell r="B218" t="str">
            <v>PROPELENTE, SÓLIDO †</v>
          </cell>
          <cell r="C218">
            <v>333</v>
          </cell>
          <cell r="D218" t="str">
            <v>ZERO</v>
          </cell>
        </row>
        <row r="219">
          <cell r="A219">
            <v>503</v>
          </cell>
          <cell r="B219" t="str">
            <v>DISPOSITIVOS DE SEGURANÇA, PIROTÉCNICOS †</v>
          </cell>
          <cell r="C219">
            <v>333</v>
          </cell>
          <cell r="D219" t="str">
            <v>ZERO</v>
          </cell>
        </row>
        <row r="220">
          <cell r="A220">
            <v>504</v>
          </cell>
          <cell r="B220" t="str">
            <v>IH-TETRAZOL</v>
          </cell>
          <cell r="C220">
            <v>20</v>
          </cell>
          <cell r="D220" t="str">
            <v>ZERO</v>
          </cell>
        </row>
        <row r="221">
          <cell r="A221">
            <v>505</v>
          </cell>
          <cell r="B221" t="str">
            <v>SINAIS DE SOCORRO, para barcos †</v>
          </cell>
          <cell r="C221">
            <v>333</v>
          </cell>
          <cell r="D221" t="str">
            <v>ZERO</v>
          </cell>
        </row>
        <row r="222">
          <cell r="A222">
            <v>506</v>
          </cell>
          <cell r="B222" t="str">
            <v>SINAIS DE SOCORRO, para barcos †</v>
          </cell>
          <cell r="C222" t="str">
            <v>ILIMITADA</v>
          </cell>
          <cell r="D222" t="str">
            <v>ZERO</v>
          </cell>
        </row>
        <row r="223">
          <cell r="A223">
            <v>507</v>
          </cell>
          <cell r="B223" t="str">
            <v>SINAIS, FUMÍGENOS †</v>
          </cell>
          <cell r="C223" t="str">
            <v>ILIMITADA</v>
          </cell>
          <cell r="D223" t="str">
            <v>ZERO</v>
          </cell>
        </row>
        <row r="224">
          <cell r="A224">
            <v>508</v>
          </cell>
          <cell r="B224" t="str">
            <v>1- HODROXIBENZOTRIAZOL, ANIDRO, seco ou umidificado com menos de 20% de água, em massa</v>
          </cell>
          <cell r="C224">
            <v>20</v>
          </cell>
          <cell r="D224" t="str">
            <v>ZERO</v>
          </cell>
        </row>
        <row r="225">
          <cell r="A225">
            <v>509</v>
          </cell>
          <cell r="B225" t="str">
            <v>PÓLVORA, SEM FUMAÇA†</v>
          </cell>
          <cell r="C225">
            <v>333</v>
          </cell>
          <cell r="D225" t="str">
            <v>ZERO</v>
          </cell>
        </row>
        <row r="226">
          <cell r="A226">
            <v>510</v>
          </cell>
          <cell r="B226" t="str">
            <v>MOTORES DE FOGUETES†</v>
          </cell>
          <cell r="C226">
            <v>333</v>
          </cell>
          <cell r="D226" t="str">
            <v>ZERO</v>
          </cell>
        </row>
        <row r="227">
          <cell r="A227">
            <v>572</v>
          </cell>
          <cell r="B227" t="str">
            <v>MOTORES DE FOGUETES, COM LÍQUIDOS HIPERGÓLICOS com ou sem carga ejetora †</v>
          </cell>
          <cell r="C227" t="str">
            <v>ZERO</v>
          </cell>
          <cell r="D227" t="str">
            <v>ZERO</v>
          </cell>
        </row>
        <row r="228">
          <cell r="A228">
            <v>629</v>
          </cell>
          <cell r="B228" t="str">
            <v>ACENDEDORES †</v>
          </cell>
          <cell r="C228">
            <v>20</v>
          </cell>
          <cell r="D228" t="str">
            <v>ZERO</v>
          </cell>
        </row>
        <row r="229">
          <cell r="A229">
            <v>656</v>
          </cell>
          <cell r="B229" t="str">
            <v>CARTUCHOS, PARA DISPOSITIVO MECÂNICO †</v>
          </cell>
          <cell r="C229">
            <v>20</v>
          </cell>
          <cell r="D229" t="str">
            <v>ZERO</v>
          </cell>
        </row>
        <row r="230">
          <cell r="A230">
            <v>660</v>
          </cell>
          <cell r="B230" t="str">
            <v>PROJÉTEIS com carga de ruptura †</v>
          </cell>
          <cell r="C230">
            <v>20</v>
          </cell>
          <cell r="D230" t="str">
            <v>ZERO</v>
          </cell>
        </row>
        <row r="231">
          <cell r="A231">
            <v>684</v>
          </cell>
          <cell r="B231" t="str">
            <v>SINALIZADORES, PARA VIAS FÉRREAS, EXPLOSIVOS †</v>
          </cell>
          <cell r="C231">
            <v>20</v>
          </cell>
          <cell r="D231" t="str">
            <v>ZERO</v>
          </cell>
        </row>
        <row r="232">
          <cell r="A232">
            <v>685</v>
          </cell>
          <cell r="B232" t="str">
            <v>FOGUETES com ogiva inerte †</v>
          </cell>
          <cell r="C232">
            <v>20</v>
          </cell>
          <cell r="D232" t="str">
            <v>ZERO</v>
          </cell>
        </row>
        <row r="233">
          <cell r="A233">
            <v>690</v>
          </cell>
          <cell r="B233" t="str">
            <v>GRANADAS, PARA EXERCÍCIO, manuais ou para fuzil †</v>
          </cell>
          <cell r="C233">
            <v>20</v>
          </cell>
          <cell r="D233" t="str">
            <v>ZERO</v>
          </cell>
        </row>
        <row r="234">
          <cell r="A234">
            <v>705</v>
          </cell>
          <cell r="B234" t="str">
            <v>MINAS com carga de ruptura †</v>
          </cell>
          <cell r="C234">
            <v>20</v>
          </cell>
          <cell r="D234" t="str">
            <v>ZERO</v>
          </cell>
        </row>
        <row r="235">
          <cell r="A235">
            <v>739</v>
          </cell>
          <cell r="B235" t="str">
            <v>CARTUCHOS PARA ARMAS, FESTIM †</v>
          </cell>
          <cell r="C235">
            <v>20</v>
          </cell>
          <cell r="D235" t="str">
            <v>ZERO</v>
          </cell>
        </row>
        <row r="236">
          <cell r="A236">
            <v>741</v>
          </cell>
          <cell r="B236" t="str">
            <v>OGIVAS, DE FOGUETES com ruptor ou carga ejetora †</v>
          </cell>
          <cell r="C236">
            <v>333</v>
          </cell>
          <cell r="D236" t="str">
            <v>ZERO</v>
          </cell>
        </row>
        <row r="237">
          <cell r="A237">
            <v>747</v>
          </cell>
          <cell r="B237" t="str">
            <v>MOTORES DE FOGUETES †</v>
          </cell>
          <cell r="C237">
            <v>20</v>
          </cell>
          <cell r="D237" t="str">
            <v>ZERO</v>
          </cell>
        </row>
        <row r="238">
          <cell r="A238">
            <v>760</v>
          </cell>
          <cell r="B238" t="str">
            <v>CARTUCHOS PARA ARMAS com carga de ruptura †</v>
          </cell>
          <cell r="C238">
            <v>333</v>
          </cell>
          <cell r="D238" t="str">
            <v>ZERO</v>
          </cell>
        </row>
        <row r="239">
          <cell r="A239">
            <v>791</v>
          </cell>
          <cell r="B239" t="str">
            <v>MOTORES DE FOGUETES, COM COMBUSTÍVEL LÍQUIDO †</v>
          </cell>
          <cell r="C239">
            <v>20</v>
          </cell>
          <cell r="D239" t="str">
            <v>ZERO</v>
          </cell>
        </row>
        <row r="240">
          <cell r="A240">
            <v>795</v>
          </cell>
          <cell r="B240" t="str">
            <v>FOGUETES, COM COMBUSTÍVEL LÍQUIDO com carga de ruptura †</v>
          </cell>
          <cell r="C240">
            <v>20</v>
          </cell>
          <cell r="D240" t="str">
            <v>ZERO</v>
          </cell>
        </row>
        <row r="241">
          <cell r="A241">
            <v>799</v>
          </cell>
          <cell r="B241" t="str">
            <v>BOMBAS COM LÍQUIDO INFLAMÁVEL com carga de ruptura †</v>
          </cell>
          <cell r="C241">
            <v>20</v>
          </cell>
          <cell r="D241" t="str">
            <v>ZERO</v>
          </cell>
        </row>
        <row r="242">
          <cell r="A242">
            <v>817</v>
          </cell>
          <cell r="B242" t="str">
            <v>ESTOPILHAS, DE DETONAÇÃO, com dispositivo de proteção †</v>
          </cell>
          <cell r="C242">
            <v>20</v>
          </cell>
          <cell r="D242" t="str">
            <v>ZERO</v>
          </cell>
        </row>
        <row r="243">
          <cell r="A243">
            <v>838</v>
          </cell>
          <cell r="B243" t="str">
            <v>FOGUETES com carga de ruptura †</v>
          </cell>
          <cell r="C243">
            <v>20</v>
          </cell>
          <cell r="D243" t="str">
            <v>ZERO</v>
          </cell>
        </row>
        <row r="244">
          <cell r="A244">
            <v>843</v>
          </cell>
          <cell r="B244" t="str">
            <v>EXPLOSIVOS, COMPONENTES DE CADEIA, N.E. †</v>
          </cell>
          <cell r="C244">
            <v>20</v>
          </cell>
          <cell r="D244" t="str">
            <v>ZERO</v>
          </cell>
        </row>
        <row r="245">
          <cell r="A245">
            <v>873</v>
          </cell>
          <cell r="B245" t="str">
            <v>FOGUETES com carga ejetora †</v>
          </cell>
          <cell r="C245">
            <v>20</v>
          </cell>
          <cell r="D245" t="str">
            <v>ZERO</v>
          </cell>
        </row>
        <row r="246">
          <cell r="A246">
            <v>885</v>
          </cell>
          <cell r="B246" t="str">
            <v>CARGAS, EXPLOSIVAS, COMERCIAIS sem detonador †</v>
          </cell>
          <cell r="C246">
            <v>20</v>
          </cell>
          <cell r="D246" t="str">
            <v>ZERO</v>
          </cell>
        </row>
        <row r="247">
          <cell r="A247">
            <v>915</v>
          </cell>
          <cell r="B247" t="str">
            <v>CARGAS, DE RUPTURA, COM AGLUTINANTE PLÁSTICO †</v>
          </cell>
          <cell r="C247">
            <v>20</v>
          </cell>
          <cell r="D247" t="str">
            <v>ZERO</v>
          </cell>
        </row>
        <row r="248">
          <cell r="A248">
            <v>929</v>
          </cell>
          <cell r="B248" t="str">
            <v>FACHOS DE SINALIZAÇÃO, SUPERFÍCIE †</v>
          </cell>
          <cell r="C248">
            <v>20</v>
          </cell>
          <cell r="D248" t="str">
            <v>ZERO</v>
          </cell>
        </row>
        <row r="249">
          <cell r="A249">
            <v>934</v>
          </cell>
          <cell r="B249" t="str">
            <v>FACHOS DE SINALIZAÇÃO, AÉREOS †</v>
          </cell>
          <cell r="C249">
            <v>20</v>
          </cell>
          <cell r="D249" t="str">
            <v>ZERO</v>
          </cell>
        </row>
        <row r="250">
          <cell r="A250">
            <v>935</v>
          </cell>
          <cell r="B250" t="str">
            <v>CARGAS, PROPELENTES, PARA CANHÃO †</v>
          </cell>
          <cell r="C250">
            <v>20</v>
          </cell>
          <cell r="D250" t="str">
            <v>ZERO</v>
          </cell>
        </row>
        <row r="251">
          <cell r="A251">
            <v>942</v>
          </cell>
          <cell r="B251" t="str">
            <v>OGIVAS, DE FOGUETES com carga de ruptura †</v>
          </cell>
          <cell r="C251">
            <v>20</v>
          </cell>
          <cell r="D251" t="str">
            <v>ZERO</v>
          </cell>
        </row>
        <row r="252">
          <cell r="A252">
            <v>958</v>
          </cell>
          <cell r="B252" t="str">
            <v>CARGAS, PROPELENTES †</v>
          </cell>
          <cell r="C252">
            <v>20</v>
          </cell>
          <cell r="D252" t="str">
            <v>ZERO</v>
          </cell>
        </row>
        <row r="253">
          <cell r="A253">
            <v>992</v>
          </cell>
          <cell r="B253" t="str">
            <v>PROPELENTE, LÍQUIDO †</v>
          </cell>
          <cell r="C253">
            <v>20</v>
          </cell>
          <cell r="D253" t="str">
            <v>ZERO</v>
          </cell>
        </row>
        <row r="254">
          <cell r="A254">
            <v>996</v>
          </cell>
          <cell r="B254" t="str">
            <v>SINALIZADORES, DE FUMAÇA †</v>
          </cell>
          <cell r="C254">
            <v>20</v>
          </cell>
          <cell r="D254" t="str">
            <v>ZERO</v>
          </cell>
        </row>
        <row r="255">
          <cell r="A255">
            <v>997</v>
          </cell>
          <cell r="B255" t="str">
            <v>PROPELENTE, SÓLIDO †</v>
          </cell>
          <cell r="C255">
            <v>20</v>
          </cell>
          <cell r="D255" t="str">
            <v>ZERO</v>
          </cell>
        </row>
        <row r="256">
          <cell r="A256">
            <v>1001</v>
          </cell>
          <cell r="B256" t="str">
            <v>ACETILENO, DISSOLVIDO</v>
          </cell>
          <cell r="C256">
            <v>333</v>
          </cell>
          <cell r="D256" t="str">
            <v>ZERO</v>
          </cell>
        </row>
        <row r="257">
          <cell r="A257">
            <v>1002</v>
          </cell>
          <cell r="B257" t="str">
            <v>FOGOS DE ARTIFÍCIO †</v>
          </cell>
          <cell r="C257">
            <v>20</v>
          </cell>
          <cell r="D257" t="str">
            <v>ZERO</v>
          </cell>
        </row>
        <row r="258">
          <cell r="A258">
            <v>1002</v>
          </cell>
          <cell r="B258" t="str">
            <v>AR, COMPRIMIDO</v>
          </cell>
          <cell r="C258">
            <v>1000</v>
          </cell>
          <cell r="D258" t="str">
            <v>120 ml</v>
          </cell>
        </row>
        <row r="259">
          <cell r="A259">
            <v>1003</v>
          </cell>
          <cell r="B259" t="str">
            <v>AR, LÍQUIDO REFRIGERADO</v>
          </cell>
          <cell r="C259">
            <v>1000</v>
          </cell>
          <cell r="D259" t="str">
            <v>ZERO</v>
          </cell>
        </row>
        <row r="260">
          <cell r="A260">
            <v>1005</v>
          </cell>
          <cell r="B260" t="str">
            <v>AMÔNIA, ANIDRA</v>
          </cell>
          <cell r="C260">
            <v>20</v>
          </cell>
          <cell r="D260" t="str">
            <v>ZERO</v>
          </cell>
        </row>
        <row r="261">
          <cell r="A261">
            <v>1006</v>
          </cell>
          <cell r="B261" t="str">
            <v>ARGÔNIO, COMPRIMIDO</v>
          </cell>
          <cell r="C261">
            <v>1000</v>
          </cell>
          <cell r="D261" t="str">
            <v>120 ml</v>
          </cell>
        </row>
        <row r="262">
          <cell r="A262">
            <v>1008</v>
          </cell>
          <cell r="B262" t="str">
            <v>TRIFLUORETO DE BORO</v>
          </cell>
          <cell r="C262">
            <v>20</v>
          </cell>
          <cell r="D262" t="str">
            <v>ZERO</v>
          </cell>
        </row>
        <row r="263">
          <cell r="A263">
            <v>1009</v>
          </cell>
          <cell r="B263" t="str">
            <v>BROMOTRIFLUORMETANO (GÁS REFRIGERANTE R 13 B1)</v>
          </cell>
          <cell r="C263">
            <v>1000</v>
          </cell>
          <cell r="D263" t="str">
            <v>120 ml</v>
          </cell>
        </row>
        <row r="264">
          <cell r="A264">
            <v>1010</v>
          </cell>
          <cell r="B264" t="str">
            <v>BUTADIENOS, ESTABILIZADOS ou BUTADIENOS E MISTURA DE HIDROCARBONETO, ESTABILIZADO, contendo</v>
          </cell>
        </row>
        <row r="265">
          <cell r="A265">
            <v>1011</v>
          </cell>
          <cell r="B265" t="str">
            <v>BUTANO</v>
          </cell>
          <cell r="C265">
            <v>333</v>
          </cell>
          <cell r="D265" t="str">
            <v>ZERO</v>
          </cell>
        </row>
        <row r="266">
          <cell r="A266">
            <v>1012</v>
          </cell>
          <cell r="B266" t="str">
            <v>BUTILENO</v>
          </cell>
          <cell r="C266">
            <v>333</v>
          </cell>
          <cell r="D266" t="str">
            <v>ZERO</v>
          </cell>
        </row>
        <row r="267">
          <cell r="A267">
            <v>1013</v>
          </cell>
          <cell r="B267" t="str">
            <v>DIÓXIDO DE CARBONO</v>
          </cell>
          <cell r="C267">
            <v>1000</v>
          </cell>
          <cell r="D267" t="str">
            <v>120 ml</v>
          </cell>
        </row>
        <row r="268">
          <cell r="A268">
            <v>1016</v>
          </cell>
          <cell r="B268" t="str">
            <v>MONÓXIDO DE CARBONO, COMPRIMIDO</v>
          </cell>
          <cell r="C268">
            <v>20</v>
          </cell>
          <cell r="D268" t="str">
            <v>ZERO</v>
          </cell>
        </row>
        <row r="269">
          <cell r="A269">
            <v>1017</v>
          </cell>
          <cell r="B269" t="str">
            <v>CLORO</v>
          </cell>
          <cell r="C269">
            <v>20</v>
          </cell>
          <cell r="D269" t="str">
            <v>ZERO</v>
          </cell>
        </row>
        <row r="270">
          <cell r="A270">
            <v>1018</v>
          </cell>
          <cell r="B270" t="str">
            <v>CLORODIFLUORMETANO (GÁS REFRIGERANTE R 22)</v>
          </cell>
          <cell r="C270">
            <v>1000</v>
          </cell>
          <cell r="D270" t="str">
            <v>120 ml</v>
          </cell>
        </row>
        <row r="271">
          <cell r="A271">
            <v>1020</v>
          </cell>
          <cell r="B271" t="str">
            <v>CLOROPENTAFLUORETANO (GÁS REFRIGERANTE R 115)</v>
          </cell>
          <cell r="C271">
            <v>1000</v>
          </cell>
          <cell r="D271" t="str">
            <v>120 ml</v>
          </cell>
        </row>
        <row r="272">
          <cell r="A272">
            <v>1021</v>
          </cell>
          <cell r="B272" t="str">
            <v>1-CLORO-1,2,2,2-TETRAFLUORETANO (GÁS REFRIGERANTE R 124)</v>
          </cell>
          <cell r="C272">
            <v>1000</v>
          </cell>
          <cell r="D272" t="str">
            <v>120 ml</v>
          </cell>
        </row>
        <row r="273">
          <cell r="A273">
            <v>1022</v>
          </cell>
          <cell r="B273" t="str">
            <v>CLOROTRIFLUOMETANO (GÁS REFRIGERANTE R 13)</v>
          </cell>
          <cell r="C273">
            <v>1000</v>
          </cell>
          <cell r="D273" t="str">
            <v>120 ml</v>
          </cell>
        </row>
        <row r="274">
          <cell r="A274">
            <v>1023</v>
          </cell>
          <cell r="B274" t="str">
            <v>GÁS DE CARVÃO, COMPRIMIDO</v>
          </cell>
          <cell r="C274">
            <v>20</v>
          </cell>
          <cell r="D274" t="str">
            <v>ZERO</v>
          </cell>
        </row>
        <row r="275">
          <cell r="A275">
            <v>1026</v>
          </cell>
          <cell r="B275" t="str">
            <v>CIANOGÊNIO</v>
          </cell>
          <cell r="C275">
            <v>20</v>
          </cell>
          <cell r="D275" t="str">
            <v>ZERO</v>
          </cell>
        </row>
        <row r="276">
          <cell r="A276">
            <v>1027</v>
          </cell>
          <cell r="B276" t="str">
            <v>CICLOPROPANO</v>
          </cell>
          <cell r="C276">
            <v>333</v>
          </cell>
          <cell r="D276" t="str">
            <v>ZERO</v>
          </cell>
        </row>
        <row r="277">
          <cell r="A277">
            <v>1028</v>
          </cell>
          <cell r="B277" t="str">
            <v>DICLORODIFLUORMETANO (GÁS REFRIGERANTE R 12)</v>
          </cell>
          <cell r="C277">
            <v>1000</v>
          </cell>
          <cell r="D277" t="str">
            <v>120 ml</v>
          </cell>
        </row>
        <row r="278">
          <cell r="A278">
            <v>1029</v>
          </cell>
          <cell r="B278" t="str">
            <v>DICLOROFLUORMETANO (GÁS REFRIGERANTE R 21)</v>
          </cell>
          <cell r="C278">
            <v>1000</v>
          </cell>
          <cell r="D278" t="str">
            <v>120 ml</v>
          </cell>
        </row>
        <row r="279">
          <cell r="A279">
            <v>1030</v>
          </cell>
          <cell r="B279" t="str">
            <v>1,1-DIFLUORETANO (GÁS REFRIGERANTE R 152 a)</v>
          </cell>
          <cell r="C279">
            <v>333</v>
          </cell>
          <cell r="D279" t="str">
            <v>ZERO</v>
          </cell>
        </row>
        <row r="280">
          <cell r="A280">
            <v>1032</v>
          </cell>
          <cell r="B280" t="str">
            <v>DIMETILAMINA, ANIDRA</v>
          </cell>
          <cell r="C280">
            <v>333</v>
          </cell>
          <cell r="D280" t="str">
            <v>ZERO</v>
          </cell>
        </row>
        <row r="281">
          <cell r="A281">
            <v>1033</v>
          </cell>
          <cell r="B281" t="str">
            <v>ÉTER DIMETÍLICO</v>
          </cell>
          <cell r="C281">
            <v>333</v>
          </cell>
          <cell r="D281" t="str">
            <v>ZERO</v>
          </cell>
        </row>
        <row r="282">
          <cell r="A282">
            <v>1035</v>
          </cell>
          <cell r="B282" t="str">
            <v>ETANO</v>
          </cell>
          <cell r="C282">
            <v>333</v>
          </cell>
          <cell r="D282" t="str">
            <v>ZERO</v>
          </cell>
        </row>
        <row r="283">
          <cell r="A283">
            <v>1036</v>
          </cell>
          <cell r="B283" t="str">
            <v>ETILAMINA</v>
          </cell>
          <cell r="C283">
            <v>333</v>
          </cell>
          <cell r="D283" t="str">
            <v>ZERO</v>
          </cell>
        </row>
        <row r="284">
          <cell r="A284">
            <v>1037</v>
          </cell>
          <cell r="B284" t="str">
            <v>CLORETO DE ETILA</v>
          </cell>
          <cell r="C284">
            <v>333</v>
          </cell>
          <cell r="D284" t="str">
            <v>ZERO</v>
          </cell>
        </row>
        <row r="285">
          <cell r="A285">
            <v>1038</v>
          </cell>
          <cell r="B285" t="str">
            <v>ETILENO, LÍQUIDO REFRIGERADO</v>
          </cell>
          <cell r="C285">
            <v>333</v>
          </cell>
          <cell r="D285" t="str">
            <v>ZERO</v>
          </cell>
        </row>
        <row r="286">
          <cell r="A286">
            <v>1039</v>
          </cell>
          <cell r="B286" t="str">
            <v>ÉTER ETILMETÍLICO</v>
          </cell>
          <cell r="C286">
            <v>333</v>
          </cell>
          <cell r="D286" t="str">
            <v>ZERO</v>
          </cell>
        </row>
        <row r="287">
          <cell r="A287">
            <v>1040</v>
          </cell>
          <cell r="B287" t="str">
            <v>ÓXIDO DE ETILENO ou ÓXIDO DE ETILENO COM NITROGÊNIO até pressão total de 1Mpa (10bar), a 50ºC</v>
          </cell>
          <cell r="C287">
            <v>20</v>
          </cell>
          <cell r="D287" t="str">
            <v>ZERO</v>
          </cell>
        </row>
        <row r="288">
          <cell r="A288">
            <v>1041</v>
          </cell>
          <cell r="B288" t="str">
            <v>MISTURA DE ÓXIDO DE ETILENO E DIÓXIDO DE CARBONO com mais de 9% e até 87% de óxido de etileno</v>
          </cell>
          <cell r="C288">
            <v>333</v>
          </cell>
          <cell r="D288" t="str">
            <v>ZERO</v>
          </cell>
        </row>
        <row r="289">
          <cell r="A289">
            <v>1043</v>
          </cell>
          <cell r="B289" t="str">
            <v>FERTILIZANTE, EM SOLUÇÃO AMONIACAL, contendo amônia livre</v>
          </cell>
          <cell r="C289">
            <v>1000</v>
          </cell>
          <cell r="D289" t="str">
            <v>120 ml</v>
          </cell>
        </row>
        <row r="290">
          <cell r="A290">
            <v>1044</v>
          </cell>
          <cell r="B290" t="str">
            <v>EXTINTOR DE INCÊNDIO contendo gás comprimido ou liquefeito</v>
          </cell>
          <cell r="C290">
            <v>1000</v>
          </cell>
          <cell r="D290" t="str">
            <v>120 ml</v>
          </cell>
        </row>
        <row r="291">
          <cell r="A291">
            <v>1045</v>
          </cell>
          <cell r="B291" t="str">
            <v>FLÚOR, COMPRIMIDO</v>
          </cell>
          <cell r="C291">
            <v>20</v>
          </cell>
          <cell r="D291" t="str">
            <v>ZERO</v>
          </cell>
        </row>
        <row r="292">
          <cell r="A292">
            <v>1046</v>
          </cell>
          <cell r="B292" t="str">
            <v>HÉLIO, COMPRIMIDO</v>
          </cell>
          <cell r="C292">
            <v>1000</v>
          </cell>
          <cell r="D292" t="str">
            <v>120 ml</v>
          </cell>
        </row>
        <row r="293">
          <cell r="A293">
            <v>1048</v>
          </cell>
          <cell r="B293" t="str">
            <v>BROMETO DE HIDROGÊNIO, ANIDRO</v>
          </cell>
          <cell r="C293">
            <v>20</v>
          </cell>
          <cell r="D293" t="str">
            <v>ZERO</v>
          </cell>
        </row>
        <row r="294">
          <cell r="A294">
            <v>1049</v>
          </cell>
          <cell r="B294" t="str">
            <v>HIDROGÊNIO, COMPRIMIDO</v>
          </cell>
          <cell r="C294">
            <v>333</v>
          </cell>
          <cell r="D294" t="str">
            <v>ZERO</v>
          </cell>
        </row>
        <row r="295">
          <cell r="A295">
            <v>1050</v>
          </cell>
          <cell r="B295" t="str">
            <v>CLORETO DE HIDROGÊNIO, ANIDRO</v>
          </cell>
          <cell r="C295">
            <v>20</v>
          </cell>
          <cell r="D295" t="str">
            <v>ZERO</v>
          </cell>
        </row>
        <row r="296">
          <cell r="A296">
            <v>1051</v>
          </cell>
          <cell r="B296" t="str">
            <v>CIANETO DE HIDROGÊNIO, ESTABILIZADO contendo menos de 3% de água</v>
          </cell>
          <cell r="C296" t="str">
            <v>ZERO</v>
          </cell>
          <cell r="D296" t="str">
            <v>ZERO</v>
          </cell>
        </row>
        <row r="297">
          <cell r="A297">
            <v>1052</v>
          </cell>
          <cell r="B297" t="str">
            <v>FLUORETO DE HIDROGÊNIO, ANIDRO</v>
          </cell>
          <cell r="C297">
            <v>20</v>
          </cell>
          <cell r="D297" t="str">
            <v>ZERO</v>
          </cell>
        </row>
        <row r="298">
          <cell r="A298">
            <v>1053</v>
          </cell>
          <cell r="B298" t="str">
            <v>SULFETO DE HIDROGÊNIO</v>
          </cell>
          <cell r="C298">
            <v>20</v>
          </cell>
          <cell r="D298" t="str">
            <v>ZERO</v>
          </cell>
        </row>
        <row r="299">
          <cell r="A299">
            <v>1055</v>
          </cell>
          <cell r="B299" t="str">
            <v>ISOBUTILENO</v>
          </cell>
          <cell r="C299">
            <v>333</v>
          </cell>
          <cell r="D299" t="str">
            <v>ZERO</v>
          </cell>
        </row>
        <row r="300">
          <cell r="A300">
            <v>1056</v>
          </cell>
          <cell r="B300" t="str">
            <v>CRIPTÔNIO, COMPRIMIDO</v>
          </cell>
          <cell r="C300">
            <v>1000</v>
          </cell>
          <cell r="D300" t="str">
            <v>120 ml</v>
          </cell>
        </row>
        <row r="301">
          <cell r="A301">
            <v>1057</v>
          </cell>
          <cell r="B301" t="str">
            <v>ISQUEIROS ou CARGAS PARA ISQUEIROS contendo gás inflamável</v>
          </cell>
          <cell r="C301">
            <v>333</v>
          </cell>
          <cell r="D301" t="str">
            <v>ZERO</v>
          </cell>
        </row>
        <row r="302">
          <cell r="A302">
            <v>1058</v>
          </cell>
          <cell r="B302" t="str">
            <v>GÁS(ES) LIQUEFEITO(S), não-inflamável(is), contendo nitrogênio, dióxido de carbono ou ar</v>
          </cell>
          <cell r="C302">
            <v>1000</v>
          </cell>
          <cell r="D302" t="str">
            <v>120 ml</v>
          </cell>
        </row>
        <row r="303">
          <cell r="A303">
            <v>1060</v>
          </cell>
          <cell r="B303" t="str">
            <v>MISTURA DE METILACETILENO E PROPADIENO, ESTABILIZADA</v>
          </cell>
          <cell r="C303">
            <v>333</v>
          </cell>
          <cell r="D303" t="str">
            <v>ZERO</v>
          </cell>
        </row>
        <row r="304">
          <cell r="A304">
            <v>1061</v>
          </cell>
          <cell r="B304" t="str">
            <v>METILAMINA, ANIDRA</v>
          </cell>
          <cell r="C304">
            <v>333</v>
          </cell>
          <cell r="D304" t="str">
            <v>ZERO</v>
          </cell>
        </row>
        <row r="305">
          <cell r="A305">
            <v>1062</v>
          </cell>
          <cell r="B305" t="str">
            <v>BROMETO DE METILA, com até 2% de cloropicrina</v>
          </cell>
          <cell r="C305">
            <v>20</v>
          </cell>
          <cell r="D305" t="str">
            <v>ZERO</v>
          </cell>
        </row>
        <row r="306">
          <cell r="A306">
            <v>1063</v>
          </cell>
          <cell r="B306" t="str">
            <v>CLORETO DE METILA (GÁS REFRIGERANTE R 40)</v>
          </cell>
          <cell r="C306">
            <v>333</v>
          </cell>
          <cell r="D306" t="str">
            <v>ZERO</v>
          </cell>
        </row>
        <row r="307">
          <cell r="A307">
            <v>1064</v>
          </cell>
          <cell r="B307" t="str">
            <v>METILMERCAPTANA</v>
          </cell>
          <cell r="C307">
            <v>20</v>
          </cell>
          <cell r="D307" t="str">
            <v>ZERO</v>
          </cell>
        </row>
        <row r="308">
          <cell r="A308">
            <v>1065</v>
          </cell>
          <cell r="B308" t="str">
            <v>ARTIGOS, EXPLOSIVOS, N.E.</v>
          </cell>
          <cell r="C308" t="str">
            <v>ZERO</v>
          </cell>
          <cell r="D308" t="str">
            <v>ZERO</v>
          </cell>
        </row>
        <row r="309">
          <cell r="A309">
            <v>1065</v>
          </cell>
          <cell r="B309" t="str">
            <v>NEÔNIO, COMPRIMIDO</v>
          </cell>
          <cell r="C309">
            <v>1000</v>
          </cell>
          <cell r="D309" t="str">
            <v>120 ml</v>
          </cell>
        </row>
        <row r="310">
          <cell r="A310">
            <v>1066</v>
          </cell>
          <cell r="B310" t="str">
            <v>NITROGÊNIO, COMPRIMIDO</v>
          </cell>
          <cell r="C310">
            <v>1000</v>
          </cell>
          <cell r="D310" t="str">
            <v>120 ml</v>
          </cell>
        </row>
        <row r="311">
          <cell r="A311">
            <v>1067</v>
          </cell>
          <cell r="B311" t="str">
            <v>TETRÓXIDO DE DINITROGÊNIO (DIÓXIDO DE NITROGÊNIO)</v>
          </cell>
          <cell r="C311">
            <v>20</v>
          </cell>
          <cell r="D311" t="str">
            <v>ZERO</v>
          </cell>
        </row>
        <row r="312">
          <cell r="A312">
            <v>1069</v>
          </cell>
          <cell r="B312" t="str">
            <v>CLORETO DE NITROSILA</v>
          </cell>
          <cell r="C312">
            <v>20</v>
          </cell>
          <cell r="D312" t="str">
            <v>ZERO</v>
          </cell>
        </row>
        <row r="313">
          <cell r="A313">
            <v>1070</v>
          </cell>
          <cell r="B313" t="str">
            <v>ÓXIDO NITROSO</v>
          </cell>
          <cell r="C313">
            <v>1000</v>
          </cell>
          <cell r="D313" t="str">
            <v>ZERO</v>
          </cell>
        </row>
        <row r="314">
          <cell r="A314">
            <v>1071</v>
          </cell>
          <cell r="B314" t="str">
            <v>GÁS DE ÓLEO, COMPRIMIDO</v>
          </cell>
          <cell r="C314">
            <v>20</v>
          </cell>
          <cell r="D314" t="str">
            <v>ZERO</v>
          </cell>
        </row>
        <row r="315">
          <cell r="A315">
            <v>1072</v>
          </cell>
          <cell r="B315" t="str">
            <v>OXIGÊNIO, COMPRIMIDO</v>
          </cell>
          <cell r="C315">
            <v>1000</v>
          </cell>
          <cell r="D315" t="str">
            <v>ZERO</v>
          </cell>
        </row>
        <row r="316">
          <cell r="A316">
            <v>1073</v>
          </cell>
          <cell r="B316" t="str">
            <v>OXIGÊNIO, LÍQUIDO REFRIGERADO</v>
          </cell>
          <cell r="C316">
            <v>1000</v>
          </cell>
          <cell r="D316" t="str">
            <v>ZERO</v>
          </cell>
        </row>
        <row r="317">
          <cell r="A317">
            <v>1075</v>
          </cell>
          <cell r="B317" t="str">
            <v>GÁS(ES) DE PETRÓLEO, LIQUEFEITO(S) ou GAS(ES) LIQUEFEITO(S) DE PETRÓLEO ou GLP</v>
          </cell>
          <cell r="C317">
            <v>333</v>
          </cell>
          <cell r="D317" t="str">
            <v>ZERO</v>
          </cell>
        </row>
        <row r="318">
          <cell r="A318">
            <v>1076</v>
          </cell>
          <cell r="B318" t="str">
            <v>FOSGÊNIO</v>
          </cell>
          <cell r="C318">
            <v>20</v>
          </cell>
          <cell r="D318" t="str">
            <v>ZERO</v>
          </cell>
        </row>
        <row r="319">
          <cell r="A319">
            <v>1077</v>
          </cell>
          <cell r="B319" t="str">
            <v>PROPILENO</v>
          </cell>
          <cell r="C319">
            <v>333</v>
          </cell>
          <cell r="D319" t="str">
            <v>ZERO</v>
          </cell>
        </row>
        <row r="320">
          <cell r="A320">
            <v>1078</v>
          </cell>
          <cell r="B320" t="str">
            <v>GÁS REFRIGERANTE, N.E.</v>
          </cell>
          <cell r="C320">
            <v>1000</v>
          </cell>
          <cell r="D320" t="str">
            <v>120 ml</v>
          </cell>
        </row>
        <row r="321">
          <cell r="A321">
            <v>1079</v>
          </cell>
          <cell r="B321" t="str">
            <v>DIÓXIDO DE ENXOFRE</v>
          </cell>
          <cell r="C321">
            <v>20</v>
          </cell>
          <cell r="D321" t="str">
            <v>ZERO</v>
          </cell>
        </row>
        <row r="322">
          <cell r="A322">
            <v>1080</v>
          </cell>
          <cell r="B322" t="str">
            <v>HEXAFLUORETO DE ENXOFRE</v>
          </cell>
          <cell r="C322">
            <v>1000</v>
          </cell>
          <cell r="D322" t="str">
            <v>120 ml</v>
          </cell>
        </row>
        <row r="323">
          <cell r="A323">
            <v>1081</v>
          </cell>
          <cell r="B323" t="str">
            <v>TETRAFLUORETILENO, ESTABILIZADO</v>
          </cell>
          <cell r="C323">
            <v>333</v>
          </cell>
          <cell r="D323" t="str">
            <v>ZERO</v>
          </cell>
        </row>
        <row r="324">
          <cell r="A324">
            <v>1082</v>
          </cell>
          <cell r="B324" t="str">
            <v>TRIFLUORCLOROETILENO, ESTABILIZADO (GAS REFRIGERANTE R 1113)</v>
          </cell>
          <cell r="C324">
            <v>20</v>
          </cell>
          <cell r="D324" t="str">
            <v>ZERO</v>
          </cell>
        </row>
        <row r="325">
          <cell r="A325">
            <v>1083</v>
          </cell>
          <cell r="B325" t="str">
            <v>TRIMETILAMINA, ANIDRA</v>
          </cell>
          <cell r="C325">
            <v>333</v>
          </cell>
          <cell r="D325" t="str">
            <v>ZERO</v>
          </cell>
        </row>
        <row r="326">
          <cell r="A326">
            <v>1085</v>
          </cell>
          <cell r="B326" t="str">
            <v>BROMETO DE VINILA, ESTABILIZADO</v>
          </cell>
          <cell r="C326">
            <v>333</v>
          </cell>
          <cell r="D326" t="str">
            <v>ZERO</v>
          </cell>
        </row>
        <row r="327">
          <cell r="A327">
            <v>1086</v>
          </cell>
          <cell r="B327" t="str">
            <v>CLORETO DE VINILA, ESTABILIZADO</v>
          </cell>
          <cell r="C327">
            <v>333</v>
          </cell>
          <cell r="D327" t="str">
            <v>ZERO</v>
          </cell>
        </row>
        <row r="328">
          <cell r="A328">
            <v>1087</v>
          </cell>
          <cell r="B328" t="str">
            <v>ÉTER METILVINÍLICO, ESTABILIZADO</v>
          </cell>
          <cell r="C328">
            <v>333</v>
          </cell>
          <cell r="D328" t="str">
            <v>ZERO</v>
          </cell>
        </row>
        <row r="329">
          <cell r="A329">
            <v>1088</v>
          </cell>
          <cell r="B329" t="str">
            <v>ACETAL</v>
          </cell>
          <cell r="C329">
            <v>333</v>
          </cell>
          <cell r="D329" t="str">
            <v>1 L</v>
          </cell>
        </row>
        <row r="330">
          <cell r="A330">
            <v>1089</v>
          </cell>
          <cell r="B330" t="str">
            <v>ACETALDEÍDO</v>
          </cell>
          <cell r="C330">
            <v>20</v>
          </cell>
          <cell r="D330" t="str">
            <v>ZERO</v>
          </cell>
        </row>
        <row r="331">
          <cell r="A331">
            <v>1090</v>
          </cell>
          <cell r="B331" t="str">
            <v>ACETONA</v>
          </cell>
          <cell r="C331">
            <v>333</v>
          </cell>
          <cell r="D331" t="str">
            <v>1 L</v>
          </cell>
        </row>
        <row r="332">
          <cell r="A332">
            <v>1091</v>
          </cell>
          <cell r="B332" t="str">
            <v>ÓLEO(S) DE ACETONA</v>
          </cell>
          <cell r="C332">
            <v>333</v>
          </cell>
          <cell r="D332" t="str">
            <v>1 L</v>
          </cell>
        </row>
        <row r="333">
          <cell r="A333">
            <v>1092</v>
          </cell>
          <cell r="B333" t="str">
            <v>ACROLEÍNA, ESTABILIZADA</v>
          </cell>
          <cell r="C333">
            <v>20</v>
          </cell>
          <cell r="D333" t="str">
            <v>ZERO</v>
          </cell>
        </row>
        <row r="334">
          <cell r="A334">
            <v>1093</v>
          </cell>
          <cell r="B334" t="str">
            <v>ACRILONITRILA, ESTABILIZADA</v>
          </cell>
          <cell r="C334">
            <v>20</v>
          </cell>
          <cell r="D334" t="str">
            <v>ZERO</v>
          </cell>
        </row>
        <row r="335">
          <cell r="A335">
            <v>1098</v>
          </cell>
          <cell r="B335" t="str">
            <v>ÁLCOOL ALÍLICO</v>
          </cell>
          <cell r="C335">
            <v>20</v>
          </cell>
          <cell r="D335" t="str">
            <v>ZERO</v>
          </cell>
        </row>
        <row r="336">
          <cell r="A336">
            <v>1099</v>
          </cell>
          <cell r="B336" t="str">
            <v>BROMETO DE ALILA</v>
          </cell>
          <cell r="C336">
            <v>20</v>
          </cell>
          <cell r="D336" t="str">
            <v>ZERO</v>
          </cell>
        </row>
        <row r="337">
          <cell r="A337">
            <v>1100</v>
          </cell>
          <cell r="B337" t="str">
            <v>CLORETO DE ALILA</v>
          </cell>
          <cell r="C337">
            <v>20</v>
          </cell>
          <cell r="D337" t="str">
            <v>ZERO</v>
          </cell>
        </row>
        <row r="338">
          <cell r="A338">
            <v>1104</v>
          </cell>
          <cell r="B338" t="str">
            <v>ACETATO(S) DE AMILA</v>
          </cell>
          <cell r="C338">
            <v>1000</v>
          </cell>
          <cell r="D338" t="str">
            <v>5 L</v>
          </cell>
        </row>
        <row r="339">
          <cell r="A339">
            <v>1105</v>
          </cell>
          <cell r="B339" t="str">
            <v>PENTANÓIS</v>
          </cell>
          <cell r="C339">
            <v>333</v>
          </cell>
          <cell r="D339" t="str">
            <v>1 L</v>
          </cell>
        </row>
        <row r="340">
          <cell r="A340">
            <v>1106</v>
          </cell>
          <cell r="B340" t="str">
            <v>AMILAMINA</v>
          </cell>
          <cell r="C340">
            <v>333</v>
          </cell>
          <cell r="D340" t="str">
            <v>1 L</v>
          </cell>
        </row>
        <row r="341">
          <cell r="A341">
            <v>1107</v>
          </cell>
          <cell r="B341" t="str">
            <v>CLORETO DE AMILA</v>
          </cell>
          <cell r="C341">
            <v>333</v>
          </cell>
          <cell r="D341" t="str">
            <v>1 L</v>
          </cell>
        </row>
        <row r="342">
          <cell r="A342">
            <v>1108</v>
          </cell>
          <cell r="B342" t="str">
            <v>I-PENTENO (n-AMILENO)</v>
          </cell>
          <cell r="C342">
            <v>20</v>
          </cell>
          <cell r="D342" t="str">
            <v>ZERO</v>
          </cell>
        </row>
        <row r="343">
          <cell r="A343">
            <v>1109</v>
          </cell>
          <cell r="B343" t="str">
            <v>FORMIATO(S) DE AMILA</v>
          </cell>
          <cell r="C343">
            <v>1000</v>
          </cell>
          <cell r="D343" t="str">
            <v>5 L</v>
          </cell>
        </row>
        <row r="344">
          <cell r="A344">
            <v>1110</v>
          </cell>
          <cell r="B344" t="str">
            <v>TORPEDOS com carga de ruptura †</v>
          </cell>
          <cell r="C344">
            <v>20</v>
          </cell>
          <cell r="D344" t="str">
            <v>ZERO</v>
          </cell>
        </row>
        <row r="345">
          <cell r="A345">
            <v>1110</v>
          </cell>
          <cell r="B345" t="str">
            <v>n-AMILMETILCETONA</v>
          </cell>
          <cell r="C345">
            <v>1000</v>
          </cell>
          <cell r="D345" t="str">
            <v>5 L</v>
          </cell>
        </row>
        <row r="346">
          <cell r="A346">
            <v>1111</v>
          </cell>
          <cell r="B346" t="str">
            <v>AMILMERCAPTANA</v>
          </cell>
          <cell r="C346">
            <v>333</v>
          </cell>
          <cell r="D346" t="str">
            <v>1 L</v>
          </cell>
        </row>
        <row r="347">
          <cell r="A347">
            <v>1112</v>
          </cell>
          <cell r="B347" t="str">
            <v>NITRATO DE AMILA</v>
          </cell>
          <cell r="C347">
            <v>1000</v>
          </cell>
          <cell r="D347" t="str">
            <v>5 L</v>
          </cell>
        </row>
        <row r="348">
          <cell r="A348">
            <v>1113</v>
          </cell>
          <cell r="B348" t="str">
            <v>NITRITO DE AMILA</v>
          </cell>
          <cell r="C348">
            <v>333</v>
          </cell>
          <cell r="D348" t="str">
            <v>1 L</v>
          </cell>
        </row>
        <row r="349">
          <cell r="A349">
            <v>1114</v>
          </cell>
          <cell r="B349" t="str">
            <v>BENZENO</v>
          </cell>
          <cell r="C349">
            <v>333</v>
          </cell>
          <cell r="D349" t="str">
            <v>1 L</v>
          </cell>
        </row>
        <row r="350">
          <cell r="A350">
            <v>1120</v>
          </cell>
          <cell r="B350" t="str">
            <v>BUTANÓIS</v>
          </cell>
          <cell r="C350">
            <v>333</v>
          </cell>
          <cell r="D350" t="str">
            <v>1 L</v>
          </cell>
        </row>
        <row r="351">
          <cell r="A351">
            <v>1123</v>
          </cell>
          <cell r="B351" t="str">
            <v>ACETATO(S) DE BUTILA</v>
          </cell>
          <cell r="C351">
            <v>333</v>
          </cell>
          <cell r="D351" t="str">
            <v>1 L</v>
          </cell>
        </row>
        <row r="352">
          <cell r="A352">
            <v>1125</v>
          </cell>
          <cell r="B352" t="str">
            <v>n-BUTILAMINA</v>
          </cell>
          <cell r="C352">
            <v>333</v>
          </cell>
          <cell r="D352" t="str">
            <v>1 L</v>
          </cell>
        </row>
        <row r="353">
          <cell r="A353">
            <v>1126</v>
          </cell>
          <cell r="B353" t="str">
            <v>1-BROMOBUTANO</v>
          </cell>
          <cell r="C353">
            <v>333</v>
          </cell>
          <cell r="D353" t="str">
            <v>1 L</v>
          </cell>
        </row>
        <row r="354">
          <cell r="A354">
            <v>1127</v>
          </cell>
          <cell r="B354" t="str">
            <v>CLOROBUTANOS</v>
          </cell>
          <cell r="C354">
            <v>333</v>
          </cell>
          <cell r="D354" t="str">
            <v>1 L</v>
          </cell>
        </row>
        <row r="355">
          <cell r="A355">
            <v>1128</v>
          </cell>
          <cell r="B355" t="str">
            <v>FORMIATO DE n-BUTILA</v>
          </cell>
          <cell r="C355">
            <v>333</v>
          </cell>
          <cell r="D355" t="str">
            <v>1 L</v>
          </cell>
        </row>
        <row r="356">
          <cell r="A356">
            <v>1129</v>
          </cell>
          <cell r="B356" t="str">
            <v>BUTIRALDEÍDO</v>
          </cell>
          <cell r="C356">
            <v>333</v>
          </cell>
          <cell r="D356" t="str">
            <v>1 L</v>
          </cell>
        </row>
        <row r="357">
          <cell r="A357">
            <v>1130</v>
          </cell>
          <cell r="B357" t="str">
            <v>ÓLEO DE CÂNFORA</v>
          </cell>
          <cell r="C357">
            <v>1000</v>
          </cell>
          <cell r="D357" t="str">
            <v>5 L</v>
          </cell>
        </row>
        <row r="358">
          <cell r="A358">
            <v>1131</v>
          </cell>
          <cell r="B358" t="str">
            <v>DISSULFETO DE CARBONO</v>
          </cell>
          <cell r="C358">
            <v>20</v>
          </cell>
          <cell r="D358" t="str">
            <v>ZERO</v>
          </cell>
        </row>
        <row r="359">
          <cell r="A359">
            <v>1133</v>
          </cell>
          <cell r="B359" t="str">
            <v>ADESIVOS contendo líquido inflamável</v>
          </cell>
          <cell r="C359">
            <v>20</v>
          </cell>
          <cell r="D359" t="str">
            <v>5 L</v>
          </cell>
        </row>
        <row r="360">
          <cell r="A360">
            <v>1134</v>
          </cell>
          <cell r="B360" t="str">
            <v>CLOROBENZENO</v>
          </cell>
          <cell r="C360">
            <v>1000</v>
          </cell>
          <cell r="D360" t="str">
            <v>5 L</v>
          </cell>
        </row>
        <row r="361">
          <cell r="A361">
            <v>1135</v>
          </cell>
          <cell r="B361" t="str">
            <v>ETILENOCLORIDRINA</v>
          </cell>
          <cell r="C361">
            <v>20</v>
          </cell>
          <cell r="D361" t="str">
            <v>ZERO</v>
          </cell>
        </row>
        <row r="362">
          <cell r="A362">
            <v>1136</v>
          </cell>
          <cell r="B362" t="str">
            <v>DESTILADOS DE ALCATRÃO DE HULHA, INFLAMÁVEIS</v>
          </cell>
          <cell r="C362">
            <v>333</v>
          </cell>
          <cell r="D362" t="str">
            <v>1 L</v>
          </cell>
        </row>
        <row r="363">
          <cell r="A363">
            <v>1139</v>
          </cell>
          <cell r="B363" t="str">
            <v>REVESTIMENTO, SOLUÇÃO PARA (inclui revestimentos ou tratamentos de  superfície, utilizados  para fins  industriais ou outros, como base para pintura em veículos, forração de tambores ou barris)</v>
          </cell>
          <cell r="C363">
            <v>20</v>
          </cell>
          <cell r="D363" t="str">
            <v>5 L</v>
          </cell>
        </row>
        <row r="364">
          <cell r="A364">
            <v>1143</v>
          </cell>
          <cell r="B364" t="str">
            <v>CROTONALDÉIDO ou CROTONALDEÍDO ESTABILIZADO</v>
          </cell>
          <cell r="C364">
            <v>20</v>
          </cell>
          <cell r="D364" t="str">
            <v>ZERO</v>
          </cell>
        </row>
        <row r="365">
          <cell r="A365">
            <v>1144</v>
          </cell>
          <cell r="B365" t="str">
            <v>CROTONILENO</v>
          </cell>
          <cell r="C365">
            <v>20</v>
          </cell>
          <cell r="D365" t="str">
            <v>ZERO</v>
          </cell>
        </row>
        <row r="366">
          <cell r="A366">
            <v>1145</v>
          </cell>
          <cell r="B366" t="str">
            <v>CICLO HEXANO</v>
          </cell>
          <cell r="C366">
            <v>333</v>
          </cell>
          <cell r="D366" t="str">
            <v>1 L</v>
          </cell>
        </row>
        <row r="367">
          <cell r="A367">
            <v>1146</v>
          </cell>
          <cell r="B367" t="str">
            <v>CICLOPENTANO</v>
          </cell>
          <cell r="C367">
            <v>333</v>
          </cell>
          <cell r="D367" t="str">
            <v>1 L</v>
          </cell>
        </row>
        <row r="368">
          <cell r="A368">
            <v>1147</v>
          </cell>
          <cell r="B368" t="str">
            <v>DECA-HIDRO-NAFTALENO</v>
          </cell>
          <cell r="C368">
            <v>1000</v>
          </cell>
          <cell r="D368" t="str">
            <v>5 L</v>
          </cell>
        </row>
        <row r="369">
          <cell r="A369">
            <v>1148</v>
          </cell>
          <cell r="B369" t="str">
            <v>DIACETONA ÁLCOOL</v>
          </cell>
          <cell r="C369">
            <v>333</v>
          </cell>
          <cell r="D369" t="str">
            <v>1 L</v>
          </cell>
        </row>
        <row r="370">
          <cell r="A370">
            <v>1149</v>
          </cell>
          <cell r="B370" t="str">
            <v>ÉTER(ES) DIBUTÍLICO(S)</v>
          </cell>
          <cell r="C370">
            <v>1000</v>
          </cell>
          <cell r="D370" t="str">
            <v>5 L</v>
          </cell>
        </row>
        <row r="371">
          <cell r="A371">
            <v>1150</v>
          </cell>
          <cell r="B371" t="str">
            <v>1,2-DICLOROETILENO</v>
          </cell>
          <cell r="C371">
            <v>333</v>
          </cell>
          <cell r="D371" t="str">
            <v>1 L</v>
          </cell>
        </row>
        <row r="372">
          <cell r="A372">
            <v>1152</v>
          </cell>
          <cell r="B372" t="str">
            <v>DICLOROPENTANOS</v>
          </cell>
          <cell r="C372">
            <v>1000</v>
          </cell>
          <cell r="D372" t="str">
            <v>5 L</v>
          </cell>
        </row>
        <row r="373">
          <cell r="A373">
            <v>1153</v>
          </cell>
          <cell r="B373" t="str">
            <v>ÉTER DIETÍLICO DE ETILENOGLICOL</v>
          </cell>
          <cell r="C373">
            <v>333</v>
          </cell>
          <cell r="D373" t="str">
            <v>1 L</v>
          </cell>
        </row>
        <row r="374">
          <cell r="A374">
            <v>1154</v>
          </cell>
          <cell r="B374" t="str">
            <v>GRANADAS, manuais ou para fuzil, com carga de ruptura †</v>
          </cell>
          <cell r="C374">
            <v>20</v>
          </cell>
          <cell r="D374" t="str">
            <v>ZERO</v>
          </cell>
        </row>
        <row r="375">
          <cell r="A375">
            <v>1154</v>
          </cell>
          <cell r="B375" t="str">
            <v>DIETILAMINA</v>
          </cell>
          <cell r="C375">
            <v>333</v>
          </cell>
          <cell r="D375" t="str">
            <v>1 L</v>
          </cell>
        </row>
        <row r="376">
          <cell r="A376">
            <v>1155</v>
          </cell>
          <cell r="B376" t="str">
            <v>ÉTER DIETÍLICO (ÉTER ETÍLICO)</v>
          </cell>
          <cell r="C376">
            <v>20</v>
          </cell>
          <cell r="D376" t="str">
            <v>ZERO</v>
          </cell>
        </row>
        <row r="377">
          <cell r="A377">
            <v>1156</v>
          </cell>
          <cell r="B377" t="str">
            <v>DIETILCETONA</v>
          </cell>
          <cell r="C377">
            <v>333</v>
          </cell>
          <cell r="D377" t="str">
            <v>1 L</v>
          </cell>
        </row>
        <row r="378">
          <cell r="A378">
            <v>1157</v>
          </cell>
          <cell r="B378" t="str">
            <v>DIISOBUTILCETONA</v>
          </cell>
          <cell r="C378">
            <v>1000</v>
          </cell>
          <cell r="D378" t="str">
            <v>5 L</v>
          </cell>
        </row>
        <row r="379">
          <cell r="A379">
            <v>1158</v>
          </cell>
          <cell r="B379" t="str">
            <v>DIISOPROPILAMINA</v>
          </cell>
          <cell r="C379">
            <v>333</v>
          </cell>
          <cell r="D379" t="str">
            <v>1 L</v>
          </cell>
        </row>
        <row r="380">
          <cell r="A380">
            <v>1159</v>
          </cell>
          <cell r="B380" t="str">
            <v>ÉTER DIISOPROPÍLICO</v>
          </cell>
          <cell r="C380">
            <v>333</v>
          </cell>
          <cell r="D380" t="str">
            <v>1 L</v>
          </cell>
        </row>
        <row r="381">
          <cell r="A381">
            <v>1160</v>
          </cell>
          <cell r="B381" t="str">
            <v>DIMETILAMINA SOLUÇÃO AQUOSA</v>
          </cell>
          <cell r="C381">
            <v>333</v>
          </cell>
          <cell r="D381" t="str">
            <v>1 L</v>
          </cell>
        </row>
        <row r="382">
          <cell r="A382">
            <v>1161</v>
          </cell>
          <cell r="B382" t="str">
            <v>CARBONATO DE DIMETILA</v>
          </cell>
          <cell r="C382">
            <v>333</v>
          </cell>
          <cell r="D382" t="str">
            <v>1 L</v>
          </cell>
        </row>
        <row r="383">
          <cell r="A383">
            <v>1162</v>
          </cell>
          <cell r="B383" t="str">
            <v>DIMETILDICLOROSSILANO</v>
          </cell>
          <cell r="C383">
            <v>333</v>
          </cell>
          <cell r="D383" t="str">
            <v>ZERO</v>
          </cell>
        </row>
        <row r="384">
          <cell r="A384">
            <v>1163</v>
          </cell>
          <cell r="B384" t="str">
            <v>DIMETIL HIDRAZINA, ASSIMÉTRICA</v>
          </cell>
          <cell r="C384">
            <v>20</v>
          </cell>
          <cell r="D384" t="str">
            <v>ZERO</v>
          </cell>
        </row>
        <row r="385">
          <cell r="A385">
            <v>1164</v>
          </cell>
          <cell r="B385" t="str">
            <v>SULFETO DE DIMETILA</v>
          </cell>
          <cell r="C385">
            <v>333</v>
          </cell>
          <cell r="D385" t="str">
            <v>1 L</v>
          </cell>
        </row>
        <row r="386">
          <cell r="A386">
            <v>1165</v>
          </cell>
          <cell r="B386" t="str">
            <v>DIOXANO</v>
          </cell>
          <cell r="C386">
            <v>333</v>
          </cell>
          <cell r="D386" t="str">
            <v>1 L</v>
          </cell>
        </row>
        <row r="387">
          <cell r="A387">
            <v>1166</v>
          </cell>
          <cell r="B387" t="str">
            <v>DIOXOLANO</v>
          </cell>
          <cell r="C387">
            <v>333</v>
          </cell>
          <cell r="D387" t="str">
            <v>1 L</v>
          </cell>
        </row>
        <row r="388">
          <cell r="A388">
            <v>1167</v>
          </cell>
          <cell r="B388" t="str">
            <v>ÉTER DIVINÍLICO, ESTABILIZADO</v>
          </cell>
          <cell r="C388">
            <v>20</v>
          </cell>
          <cell r="D388" t="str">
            <v>ZERO</v>
          </cell>
        </row>
        <row r="389">
          <cell r="A389">
            <v>1169</v>
          </cell>
          <cell r="B389" t="str">
            <v>EXTRATOS, AROMÁTICOS, LÍQUIDOS</v>
          </cell>
          <cell r="C389">
            <v>333</v>
          </cell>
          <cell r="D389" t="str">
            <v>5 L</v>
          </cell>
        </row>
        <row r="390">
          <cell r="A390">
            <v>1170</v>
          </cell>
          <cell r="B390" t="str">
            <v>ETANOL (ÁLCOOL ETÍLICO) ou SOLUÇÃO DE ETANOL (SOLUÇÃO DE ÁLCOOL ETÍLICO)</v>
          </cell>
          <cell r="C390">
            <v>333</v>
          </cell>
          <cell r="D390" t="str">
            <v>1 L</v>
          </cell>
        </row>
        <row r="391">
          <cell r="A391">
            <v>1171</v>
          </cell>
          <cell r="B391" t="str">
            <v>ÉTER MONOETÍLICO DE ETILENOGLICOL</v>
          </cell>
          <cell r="C391">
            <v>1000</v>
          </cell>
          <cell r="D391" t="str">
            <v>5 L</v>
          </cell>
        </row>
        <row r="392">
          <cell r="A392">
            <v>1172</v>
          </cell>
          <cell r="B392" t="str">
            <v>ACETATO DE ÉTER MONOETÍLICO DE ETILENOGLICOL</v>
          </cell>
          <cell r="C392">
            <v>1000</v>
          </cell>
          <cell r="D392" t="str">
            <v>5 L</v>
          </cell>
        </row>
        <row r="393">
          <cell r="A393">
            <v>1173</v>
          </cell>
          <cell r="B393" t="str">
            <v>ACETATO DE ETILA</v>
          </cell>
          <cell r="C393">
            <v>333</v>
          </cell>
          <cell r="D393" t="str">
            <v>1 L</v>
          </cell>
        </row>
        <row r="394">
          <cell r="A394">
            <v>1175</v>
          </cell>
          <cell r="B394" t="str">
            <v>ETILBENZENO</v>
          </cell>
          <cell r="C394">
            <v>333</v>
          </cell>
          <cell r="D394" t="str">
            <v>1 L</v>
          </cell>
        </row>
        <row r="395">
          <cell r="A395">
            <v>1176</v>
          </cell>
          <cell r="B395" t="str">
            <v>BORATO DE ETILA</v>
          </cell>
          <cell r="C395">
            <v>333</v>
          </cell>
          <cell r="D395" t="str">
            <v>1 L</v>
          </cell>
        </row>
        <row r="396">
          <cell r="A396">
            <v>1177</v>
          </cell>
          <cell r="B396" t="str">
            <v>ACETATO DE 2-ETILBUTILA</v>
          </cell>
          <cell r="C396">
            <v>1000</v>
          </cell>
          <cell r="D396" t="str">
            <v>5 L</v>
          </cell>
        </row>
        <row r="397">
          <cell r="A397">
            <v>1178</v>
          </cell>
          <cell r="B397" t="str">
            <v>2-ETILBUTIRALDEÍDO</v>
          </cell>
          <cell r="C397">
            <v>333</v>
          </cell>
          <cell r="D397" t="str">
            <v>1 L</v>
          </cell>
        </row>
        <row r="398">
          <cell r="A398">
            <v>1179</v>
          </cell>
          <cell r="B398" t="str">
            <v>ÉTER ETILBUTÍLICO</v>
          </cell>
          <cell r="C398">
            <v>333</v>
          </cell>
          <cell r="D398" t="str">
            <v>1 L</v>
          </cell>
        </row>
        <row r="399">
          <cell r="A399">
            <v>1180</v>
          </cell>
          <cell r="B399" t="str">
            <v>BUTIRATO DE ETILA</v>
          </cell>
          <cell r="C399">
            <v>1000</v>
          </cell>
          <cell r="D399" t="str">
            <v>5 L</v>
          </cell>
        </row>
        <row r="400">
          <cell r="A400">
            <v>1181</v>
          </cell>
          <cell r="B400" t="str">
            <v>CLOROACETATO DE ETILA</v>
          </cell>
          <cell r="C400">
            <v>333</v>
          </cell>
          <cell r="D400" t="str">
            <v>100 ml</v>
          </cell>
        </row>
        <row r="401">
          <cell r="A401">
            <v>1182</v>
          </cell>
          <cell r="B401" t="str">
            <v>CLOROFORMIATO DE ETILA</v>
          </cell>
          <cell r="C401">
            <v>20</v>
          </cell>
          <cell r="D401" t="str">
            <v>ZERO</v>
          </cell>
        </row>
        <row r="402">
          <cell r="A402">
            <v>1183</v>
          </cell>
          <cell r="B402" t="str">
            <v>ETILDICLOROSSILANO</v>
          </cell>
          <cell r="C402" t="str">
            <v>ZERO</v>
          </cell>
          <cell r="D402" t="str">
            <v>ZERO</v>
          </cell>
        </row>
        <row r="403">
          <cell r="A403">
            <v>1184</v>
          </cell>
          <cell r="B403" t="str">
            <v>DICLORETO DE ETILENO</v>
          </cell>
          <cell r="C403">
            <v>333</v>
          </cell>
          <cell r="D403" t="str">
            <v>1 L</v>
          </cell>
        </row>
        <row r="404">
          <cell r="A404">
            <v>1185</v>
          </cell>
          <cell r="B404" t="str">
            <v>ETILENOIMINA, ESTABILIZADA</v>
          </cell>
          <cell r="C404">
            <v>20</v>
          </cell>
          <cell r="D404" t="str">
            <v>ZERO</v>
          </cell>
        </row>
        <row r="405">
          <cell r="A405">
            <v>1188</v>
          </cell>
          <cell r="B405" t="str">
            <v>ÉTER MONOMETÍLICO DE ETILENOGLICOL</v>
          </cell>
          <cell r="C405">
            <v>1000</v>
          </cell>
          <cell r="D405" t="str">
            <v>5 L</v>
          </cell>
        </row>
        <row r="406">
          <cell r="A406">
            <v>1189</v>
          </cell>
          <cell r="B406" t="str">
            <v>ACETATO DE ÉTER MONOMETÍLICO DE ETILENOGLICOL</v>
          </cell>
          <cell r="C406">
            <v>1000</v>
          </cell>
          <cell r="D406" t="str">
            <v>5 L</v>
          </cell>
        </row>
        <row r="407">
          <cell r="A407">
            <v>1190</v>
          </cell>
          <cell r="B407" t="str">
            <v>FORMIATO DE ETILA</v>
          </cell>
          <cell r="C407">
            <v>333</v>
          </cell>
          <cell r="D407" t="str">
            <v>1 L</v>
          </cell>
        </row>
        <row r="408">
          <cell r="A408">
            <v>1191</v>
          </cell>
          <cell r="B408" t="str">
            <v>ALDEÍDOS OCTÍLICOS</v>
          </cell>
          <cell r="C408">
            <v>1000</v>
          </cell>
          <cell r="D408" t="str">
            <v>5 L</v>
          </cell>
        </row>
        <row r="409">
          <cell r="A409">
            <v>1192</v>
          </cell>
          <cell r="B409" t="str">
            <v>LACTATO DE ETILA</v>
          </cell>
          <cell r="C409">
            <v>1000</v>
          </cell>
          <cell r="D409" t="str">
            <v>5 L</v>
          </cell>
        </row>
        <row r="410">
          <cell r="A410">
            <v>1193</v>
          </cell>
          <cell r="B410" t="str">
            <v>ETILMETILCETONA (METILETILCETONA)</v>
          </cell>
          <cell r="C410">
            <v>333</v>
          </cell>
          <cell r="D410" t="str">
            <v>1 L</v>
          </cell>
        </row>
        <row r="411">
          <cell r="A411">
            <v>1194</v>
          </cell>
          <cell r="B411" t="str">
            <v>NITRITO DE ETILA SOLUÇÃO</v>
          </cell>
          <cell r="C411">
            <v>20</v>
          </cell>
          <cell r="D411" t="str">
            <v>ZERO</v>
          </cell>
        </row>
        <row r="412">
          <cell r="A412">
            <v>1195</v>
          </cell>
          <cell r="B412" t="str">
            <v>PROPIONATO DE ETILA</v>
          </cell>
          <cell r="C412">
            <v>333</v>
          </cell>
          <cell r="D412" t="str">
            <v>1 L</v>
          </cell>
        </row>
        <row r="413">
          <cell r="A413">
            <v>1196</v>
          </cell>
          <cell r="B413" t="str">
            <v>ETILTRICLOROSSILANO</v>
          </cell>
          <cell r="C413">
            <v>333</v>
          </cell>
          <cell r="D413" t="str">
            <v>ZERO</v>
          </cell>
        </row>
        <row r="414">
          <cell r="A414">
            <v>1197</v>
          </cell>
          <cell r="B414" t="str">
            <v>EXTRATOS, AROMATIZANTES, LÍQUIDOS</v>
          </cell>
          <cell r="C414">
            <v>333</v>
          </cell>
          <cell r="D414" t="str">
            <v>5 L</v>
          </cell>
        </row>
        <row r="415">
          <cell r="A415">
            <v>1198</v>
          </cell>
          <cell r="B415" t="str">
            <v>FORMALDEÍDO SOLUÇÃO, INFLAMÁVEL</v>
          </cell>
          <cell r="C415">
            <v>1000</v>
          </cell>
          <cell r="D415" t="str">
            <v>5 L</v>
          </cell>
        </row>
        <row r="416">
          <cell r="A416">
            <v>1199</v>
          </cell>
          <cell r="B416" t="str">
            <v>FURALDEÍDOS</v>
          </cell>
          <cell r="C416">
            <v>333</v>
          </cell>
          <cell r="D416" t="str">
            <v>100 ml</v>
          </cell>
        </row>
        <row r="417">
          <cell r="A417">
            <v>1201</v>
          </cell>
          <cell r="B417" t="str">
            <v>ÓLEO FUSEL</v>
          </cell>
          <cell r="C417">
            <v>333</v>
          </cell>
          <cell r="D417" t="str">
            <v>1 L</v>
          </cell>
        </row>
        <row r="418">
          <cell r="A418">
            <v>1202</v>
          </cell>
          <cell r="B418" t="str">
            <v>GASÓLEO ou ÓLEO DIESEL ou ÓLEO PARA AQUECIMENTO, LEVE</v>
          </cell>
          <cell r="C418">
            <v>1000</v>
          </cell>
          <cell r="D418" t="str">
            <v>5 L</v>
          </cell>
        </row>
        <row r="419">
          <cell r="A419">
            <v>1203</v>
          </cell>
          <cell r="B419" t="str">
            <v>COMBUSTÍVEL PARA MOTORES  ou GASOLINA ou GASOLINA DE AVIAÇÃO (GAV-100LL ou AVGAS-100LL)</v>
          </cell>
          <cell r="C419">
            <v>333</v>
          </cell>
          <cell r="D419" t="str">
            <v>1 L</v>
          </cell>
        </row>
        <row r="420">
          <cell r="A420">
            <v>1204</v>
          </cell>
          <cell r="B420" t="str">
            <v>NITROGLICERINA EM SOLUÇÃO ALCÓOLICA com até 1% de nitroglicerina</v>
          </cell>
          <cell r="C420">
            <v>333</v>
          </cell>
          <cell r="D420" t="str">
            <v>1 L</v>
          </cell>
        </row>
        <row r="421">
          <cell r="A421">
            <v>1206</v>
          </cell>
          <cell r="B421" t="str">
            <v>PROJÉTEIS com ruptor ou carga ejetora †</v>
          </cell>
          <cell r="C421">
            <v>20</v>
          </cell>
          <cell r="D421" t="str">
            <v>ZERO</v>
          </cell>
        </row>
        <row r="422">
          <cell r="A422">
            <v>1206</v>
          </cell>
          <cell r="B422" t="str">
            <v>HEPTANOS</v>
          </cell>
          <cell r="C422">
            <v>333</v>
          </cell>
          <cell r="D422" t="str">
            <v>1 L</v>
          </cell>
        </row>
        <row r="423">
          <cell r="A423">
            <v>1207</v>
          </cell>
          <cell r="B423" t="str">
            <v>HEXALDEÍDO</v>
          </cell>
          <cell r="C423">
            <v>1000</v>
          </cell>
          <cell r="D423" t="str">
            <v>5 L</v>
          </cell>
        </row>
        <row r="424">
          <cell r="A424">
            <v>1208</v>
          </cell>
          <cell r="B424" t="str">
            <v>HEXANOS</v>
          </cell>
          <cell r="C424">
            <v>333</v>
          </cell>
          <cell r="D424" t="str">
            <v>1 L</v>
          </cell>
        </row>
        <row r="425">
          <cell r="A425">
            <v>1209</v>
          </cell>
          <cell r="B425" t="str">
            <v>PROJÉTEIS com ruptor ou carga ejetora †</v>
          </cell>
          <cell r="C425">
            <v>333</v>
          </cell>
          <cell r="D425" t="str">
            <v>ZERO</v>
          </cell>
        </row>
        <row r="426">
          <cell r="A426">
            <v>1210</v>
          </cell>
          <cell r="B426" t="str">
            <v>TINTA  PARA  IMPRESSÃO,  inflamável ou  MATERIAL  RELACIONADO  COM  TINTA  PARA  IMPRESSÃO  (incluindo</v>
          </cell>
        </row>
        <row r="427">
          <cell r="A427">
            <v>1212</v>
          </cell>
          <cell r="B427" t="str">
            <v>ISOBUTANOL (ÁLCOOL ISOBUTÍLICO)</v>
          </cell>
          <cell r="C427">
            <v>1000</v>
          </cell>
          <cell r="D427" t="str">
            <v>5 L</v>
          </cell>
        </row>
        <row r="428">
          <cell r="A428">
            <v>1213</v>
          </cell>
          <cell r="B428" t="str">
            <v>ACETATO DE ISOBUTILA</v>
          </cell>
          <cell r="C428">
            <v>333</v>
          </cell>
          <cell r="D428" t="str">
            <v>1 L</v>
          </cell>
        </row>
        <row r="429">
          <cell r="A429">
            <v>1214</v>
          </cell>
          <cell r="B429" t="str">
            <v>ISOBUTILAMINA</v>
          </cell>
          <cell r="C429">
            <v>333</v>
          </cell>
          <cell r="D429" t="str">
            <v>1 L</v>
          </cell>
        </row>
        <row r="430">
          <cell r="A430">
            <v>1216</v>
          </cell>
          <cell r="B430" t="str">
            <v>ISOOCTENO</v>
          </cell>
          <cell r="C430">
            <v>333</v>
          </cell>
          <cell r="D430" t="str">
            <v>1 L</v>
          </cell>
        </row>
        <row r="431">
          <cell r="A431">
            <v>1218</v>
          </cell>
          <cell r="B431" t="str">
            <v>ISOPRENO, ESTABILIZADO</v>
          </cell>
          <cell r="C431">
            <v>20</v>
          </cell>
          <cell r="D431" t="str">
            <v>ZERO</v>
          </cell>
        </row>
        <row r="432">
          <cell r="A432">
            <v>1219</v>
          </cell>
          <cell r="B432" t="str">
            <v>ISOPROPANOL (ÁLCOOL ISOPROPÍLICO)</v>
          </cell>
          <cell r="C432">
            <v>333</v>
          </cell>
          <cell r="D432" t="str">
            <v>1 L</v>
          </cell>
        </row>
        <row r="433">
          <cell r="A433">
            <v>1220</v>
          </cell>
          <cell r="B433" t="str">
            <v>ACETATO DE ISOPROPILA</v>
          </cell>
          <cell r="C433">
            <v>333</v>
          </cell>
          <cell r="D433" t="str">
            <v>1 L</v>
          </cell>
        </row>
        <row r="434">
          <cell r="A434">
            <v>1221</v>
          </cell>
          <cell r="B434" t="str">
            <v>ISOPROPILAMINA</v>
          </cell>
          <cell r="C434">
            <v>20</v>
          </cell>
          <cell r="D434" t="str">
            <v>ZERO</v>
          </cell>
        </row>
        <row r="435">
          <cell r="A435">
            <v>1222</v>
          </cell>
          <cell r="B435" t="str">
            <v>NITRATO DE ISOPROPILA</v>
          </cell>
          <cell r="C435">
            <v>333</v>
          </cell>
          <cell r="D435" t="str">
            <v>1 L</v>
          </cell>
        </row>
        <row r="436">
          <cell r="A436">
            <v>1223</v>
          </cell>
          <cell r="B436" t="str">
            <v>QUEROSENE</v>
          </cell>
          <cell r="C436">
            <v>1000</v>
          </cell>
          <cell r="D436" t="str">
            <v>5 L</v>
          </cell>
        </row>
        <row r="437">
          <cell r="A437">
            <v>1224</v>
          </cell>
          <cell r="B437" t="str">
            <v>CETONAS, LÍQUIDAS, N.E.</v>
          </cell>
          <cell r="C437">
            <v>333</v>
          </cell>
          <cell r="D437" t="str">
            <v>1 L</v>
          </cell>
        </row>
        <row r="438">
          <cell r="A438">
            <v>1228</v>
          </cell>
          <cell r="B438" t="str">
            <v>MERCAPTANAS,  INFLAMÁVEIS,  TÓXICAS,  LÍQUIDAS,  N.E.,  ou  MISTURA  DE  MERCAPTANA,  INFLAMÁVEL, TÓXICA, LÍQUIDA, N.E.</v>
          </cell>
          <cell r="C438">
            <v>333</v>
          </cell>
          <cell r="D438" t="str">
            <v>1 L</v>
          </cell>
        </row>
        <row r="439">
          <cell r="A439">
            <v>1229</v>
          </cell>
          <cell r="B439" t="str">
            <v>ÓXIDO DE MESITILA</v>
          </cell>
          <cell r="C439">
            <v>1000</v>
          </cell>
          <cell r="D439" t="str">
            <v>5 L</v>
          </cell>
        </row>
        <row r="440">
          <cell r="A440">
            <v>1230</v>
          </cell>
          <cell r="B440" t="str">
            <v>METANOL</v>
          </cell>
          <cell r="C440">
            <v>333</v>
          </cell>
          <cell r="D440" t="str">
            <v>1 L</v>
          </cell>
        </row>
        <row r="441">
          <cell r="A441">
            <v>1231</v>
          </cell>
          <cell r="B441" t="str">
            <v>ACETATO DE METILA</v>
          </cell>
          <cell r="C441">
            <v>333</v>
          </cell>
          <cell r="D441" t="str">
            <v>1 L</v>
          </cell>
        </row>
        <row r="442">
          <cell r="A442">
            <v>1233</v>
          </cell>
          <cell r="B442" t="str">
            <v>ACETATO DE METILAMILA</v>
          </cell>
          <cell r="C442">
            <v>1000</v>
          </cell>
          <cell r="D442" t="str">
            <v>5 L</v>
          </cell>
        </row>
        <row r="443">
          <cell r="A443">
            <v>1234</v>
          </cell>
          <cell r="B443" t="str">
            <v>METILAL</v>
          </cell>
          <cell r="C443">
            <v>333</v>
          </cell>
          <cell r="D443" t="str">
            <v>1 L</v>
          </cell>
        </row>
        <row r="444">
          <cell r="A444">
            <v>1235</v>
          </cell>
          <cell r="B444" t="str">
            <v>METILAMINA, SOLUÇÃO AQUOSA</v>
          </cell>
          <cell r="C444">
            <v>333</v>
          </cell>
          <cell r="D444" t="str">
            <v>1 L</v>
          </cell>
        </row>
        <row r="445">
          <cell r="A445">
            <v>1237</v>
          </cell>
          <cell r="B445" t="str">
            <v>BUTIRATO DE METILA</v>
          </cell>
          <cell r="C445">
            <v>333</v>
          </cell>
          <cell r="D445" t="str">
            <v>1 L</v>
          </cell>
        </row>
        <row r="446">
          <cell r="A446">
            <v>1238</v>
          </cell>
          <cell r="B446" t="str">
            <v>CLOROFORMIATO DE METILA</v>
          </cell>
          <cell r="C446">
            <v>20</v>
          </cell>
          <cell r="D446" t="str">
            <v>ZERO</v>
          </cell>
        </row>
        <row r="447">
          <cell r="A447">
            <v>1239</v>
          </cell>
          <cell r="B447" t="str">
            <v>ÉTER METILCLOROMETÍLICO</v>
          </cell>
          <cell r="C447">
            <v>20</v>
          </cell>
          <cell r="D447" t="str">
            <v>ZERO</v>
          </cell>
        </row>
        <row r="448">
          <cell r="A448">
            <v>1242</v>
          </cell>
          <cell r="B448" t="str">
            <v>METILDICLOROSSILANO</v>
          </cell>
          <cell r="C448" t="str">
            <v>ZERO</v>
          </cell>
          <cell r="D448" t="str">
            <v>ZERO</v>
          </cell>
        </row>
        <row r="449">
          <cell r="A449">
            <v>1243</v>
          </cell>
          <cell r="B449" t="str">
            <v>FORMIATO DE METILA</v>
          </cell>
          <cell r="C449">
            <v>20</v>
          </cell>
          <cell r="D449" t="str">
            <v>ZERO</v>
          </cell>
        </row>
        <row r="450">
          <cell r="A450">
            <v>1244</v>
          </cell>
          <cell r="B450" t="str">
            <v>METILHIDRAZINA</v>
          </cell>
          <cell r="C450">
            <v>20</v>
          </cell>
          <cell r="D450" t="str">
            <v>ZERO</v>
          </cell>
        </row>
        <row r="451">
          <cell r="A451">
            <v>1245</v>
          </cell>
          <cell r="B451" t="str">
            <v>METILISOBUTILCETONA</v>
          </cell>
          <cell r="C451">
            <v>333</v>
          </cell>
          <cell r="D451" t="str">
            <v>1 L</v>
          </cell>
        </row>
        <row r="452">
          <cell r="A452">
            <v>1246</v>
          </cell>
          <cell r="B452" t="str">
            <v>METILISOPROPENILCETONA, ESTABILIZADA</v>
          </cell>
          <cell r="C452">
            <v>333</v>
          </cell>
          <cell r="D452" t="str">
            <v>1 L</v>
          </cell>
        </row>
        <row r="453">
          <cell r="A453">
            <v>1247</v>
          </cell>
          <cell r="B453" t="str">
            <v>METACRILATO DE METILA MONÔMERO, ESTABILIZADO</v>
          </cell>
          <cell r="C453">
            <v>333</v>
          </cell>
          <cell r="D453" t="str">
            <v>1 L</v>
          </cell>
        </row>
        <row r="454">
          <cell r="A454">
            <v>1248</v>
          </cell>
          <cell r="B454" t="str">
            <v>PROPIONATO DE METILA</v>
          </cell>
          <cell r="C454">
            <v>333</v>
          </cell>
          <cell r="D454" t="str">
            <v>1 L</v>
          </cell>
        </row>
        <row r="455">
          <cell r="A455">
            <v>1249</v>
          </cell>
          <cell r="B455" t="str">
            <v>DISPOSITIVOS DE SONDAGEM, EXPLOSIVOS †</v>
          </cell>
          <cell r="C455">
            <v>20</v>
          </cell>
          <cell r="D455" t="str">
            <v>ZERO</v>
          </cell>
        </row>
        <row r="456">
          <cell r="A456">
            <v>1249</v>
          </cell>
          <cell r="B456" t="str">
            <v>METILPROPILCETONA</v>
          </cell>
          <cell r="C456">
            <v>333</v>
          </cell>
          <cell r="D456" t="str">
            <v>1 L</v>
          </cell>
        </row>
        <row r="457">
          <cell r="A457">
            <v>1250</v>
          </cell>
          <cell r="B457" t="str">
            <v>METILTRICLOROSSILANO</v>
          </cell>
          <cell r="C457">
            <v>20</v>
          </cell>
          <cell r="D457" t="str">
            <v>ZERO</v>
          </cell>
        </row>
        <row r="458">
          <cell r="A458">
            <v>1251</v>
          </cell>
          <cell r="B458" t="str">
            <v>METILVINILCETONA, ESTABILIZADA</v>
          </cell>
          <cell r="C458">
            <v>20</v>
          </cell>
          <cell r="D458" t="str">
            <v>ZERO</v>
          </cell>
        </row>
        <row r="459">
          <cell r="A459">
            <v>1259</v>
          </cell>
          <cell r="B459" t="str">
            <v>NIQUELCARBONILA</v>
          </cell>
          <cell r="C459">
            <v>20</v>
          </cell>
          <cell r="D459" t="str">
            <v>ZERO</v>
          </cell>
        </row>
        <row r="460">
          <cell r="A460">
            <v>1261</v>
          </cell>
          <cell r="B460" t="str">
            <v>NITROMETANO</v>
          </cell>
          <cell r="C460">
            <v>333</v>
          </cell>
          <cell r="D460" t="str">
            <v>1 L</v>
          </cell>
        </row>
        <row r="461">
          <cell r="A461">
            <v>1262</v>
          </cell>
          <cell r="B461" t="str">
            <v>OCTANOS</v>
          </cell>
          <cell r="C461">
            <v>333</v>
          </cell>
          <cell r="D461" t="str">
            <v>1 L</v>
          </cell>
        </row>
        <row r="462">
          <cell r="A462">
            <v>1263</v>
          </cell>
          <cell r="B462" t="str">
            <v>TINTA  (incluindo  tintas,  lacas,  esmaltes,  tinturas,  goma-lacas,  vernizes,  polidores,  enenchimentos  líquidos  e  bases  líquidas para lacas) ou MATERIAL RELACIONADO COM TINTAS (incluindo diluentes ou redutores para tintas)</v>
          </cell>
          <cell r="C462">
            <v>20</v>
          </cell>
          <cell r="D462" t="str">
            <v>5 L</v>
          </cell>
        </row>
        <row r="463">
          <cell r="A463">
            <v>1264</v>
          </cell>
          <cell r="B463" t="str">
            <v>PARALDEÍDO</v>
          </cell>
          <cell r="C463">
            <v>1000</v>
          </cell>
          <cell r="D463" t="str">
            <v>5 L</v>
          </cell>
        </row>
        <row r="464">
          <cell r="A464">
            <v>1265</v>
          </cell>
          <cell r="B464" t="str">
            <v>PENTANOS, líquidos</v>
          </cell>
          <cell r="C464">
            <v>20</v>
          </cell>
          <cell r="D464" t="str">
            <v>1 L</v>
          </cell>
        </row>
        <row r="465">
          <cell r="A465">
            <v>1266</v>
          </cell>
          <cell r="B465" t="str">
            <v>PERFUMARIA PRODUTOS contendo solventes inflamáveis</v>
          </cell>
          <cell r="C465">
            <v>333</v>
          </cell>
          <cell r="D465" t="str">
            <v>5 L</v>
          </cell>
        </row>
        <row r="466">
          <cell r="A466">
            <v>1267</v>
          </cell>
          <cell r="B466" t="str">
            <v>PETRÓLEO CRU</v>
          </cell>
          <cell r="C466">
            <v>20</v>
          </cell>
          <cell r="D466" t="str">
            <v>1 L</v>
          </cell>
        </row>
        <row r="467">
          <cell r="A467">
            <v>1268</v>
          </cell>
          <cell r="B467" t="str">
            <v>DESTILADOS DE PETRÓLEO, N.E. ou DERIVADOS DE PETRÓLEO, N.E.</v>
          </cell>
          <cell r="C467">
            <v>20</v>
          </cell>
          <cell r="D467" t="str">
            <v>1 L</v>
          </cell>
        </row>
        <row r="468">
          <cell r="A468">
            <v>1272</v>
          </cell>
          <cell r="B468" t="str">
            <v>ÓLEO DE PINHO</v>
          </cell>
          <cell r="C468">
            <v>1000</v>
          </cell>
          <cell r="D468" t="str">
            <v>5 L</v>
          </cell>
        </row>
        <row r="469">
          <cell r="A469">
            <v>1274</v>
          </cell>
          <cell r="B469" t="str">
            <v>n-PROPANOL (ÁLCOOL PROPÍLICO, NORMAL)</v>
          </cell>
          <cell r="C469">
            <v>333</v>
          </cell>
          <cell r="D469" t="str">
            <v>1 L</v>
          </cell>
        </row>
        <row r="470">
          <cell r="A470">
            <v>1275</v>
          </cell>
          <cell r="B470" t="str">
            <v>PROPIONALDEÍDO</v>
          </cell>
          <cell r="C470">
            <v>333</v>
          </cell>
          <cell r="D470" t="str">
            <v>1 L</v>
          </cell>
        </row>
        <row r="471">
          <cell r="A471">
            <v>1276</v>
          </cell>
          <cell r="B471" t="str">
            <v>ACETATO DE n-PROPILA</v>
          </cell>
          <cell r="C471">
            <v>333</v>
          </cell>
          <cell r="D471" t="str">
            <v>1 L</v>
          </cell>
        </row>
        <row r="472">
          <cell r="A472">
            <v>1277</v>
          </cell>
          <cell r="B472" t="str">
            <v>PROPILAMINA</v>
          </cell>
          <cell r="C472">
            <v>333</v>
          </cell>
          <cell r="D472" t="str">
            <v>1 L</v>
          </cell>
        </row>
        <row r="473">
          <cell r="A473">
            <v>1278</v>
          </cell>
          <cell r="B473" t="str">
            <v>1-CLOROPROPANO</v>
          </cell>
          <cell r="C473">
            <v>333</v>
          </cell>
          <cell r="D473" t="str">
            <v>1 L</v>
          </cell>
        </row>
        <row r="474">
          <cell r="A474">
            <v>1279</v>
          </cell>
          <cell r="B474" t="str">
            <v>1,2-DICLOROPROPANO</v>
          </cell>
          <cell r="C474">
            <v>333</v>
          </cell>
          <cell r="D474" t="str">
            <v>1 L</v>
          </cell>
        </row>
        <row r="475">
          <cell r="A475">
            <v>1280</v>
          </cell>
          <cell r="B475" t="str">
            <v>ÓXIDO DE PROPILENO</v>
          </cell>
          <cell r="C475">
            <v>20</v>
          </cell>
          <cell r="D475" t="str">
            <v>ZERO</v>
          </cell>
        </row>
        <row r="476">
          <cell r="A476">
            <v>1281</v>
          </cell>
          <cell r="B476" t="str">
            <v>FORMIATO(S) DE PROPILA</v>
          </cell>
          <cell r="C476">
            <v>333</v>
          </cell>
          <cell r="D476" t="str">
            <v>1 L</v>
          </cell>
        </row>
        <row r="477">
          <cell r="A477">
            <v>1282</v>
          </cell>
          <cell r="B477" t="str">
            <v>PIRIDINA</v>
          </cell>
          <cell r="C477">
            <v>333</v>
          </cell>
          <cell r="D477" t="str">
            <v>1 L</v>
          </cell>
        </row>
        <row r="478">
          <cell r="A478">
            <v>1286</v>
          </cell>
          <cell r="B478" t="str">
            <v>ÓLEO DE RESINA</v>
          </cell>
          <cell r="C478">
            <v>333</v>
          </cell>
          <cell r="D478" t="str">
            <v>5 L</v>
          </cell>
        </row>
        <row r="479">
          <cell r="A479">
            <v>1287</v>
          </cell>
          <cell r="B479" t="str">
            <v>ARTIGOS, PIROTÉCNICOS para fins técnicos †</v>
          </cell>
          <cell r="C479">
            <v>20</v>
          </cell>
          <cell r="D479" t="str">
            <v>ZERO</v>
          </cell>
        </row>
        <row r="480">
          <cell r="A480">
            <v>1287</v>
          </cell>
          <cell r="B480" t="str">
            <v>BORRACHA EM SOLUÇÃO</v>
          </cell>
          <cell r="C480">
            <v>333</v>
          </cell>
          <cell r="D480" t="str">
            <v>5 L</v>
          </cell>
        </row>
        <row r="481">
          <cell r="A481">
            <v>1288</v>
          </cell>
          <cell r="B481" t="str">
            <v>ÓLEO DE XISTO</v>
          </cell>
          <cell r="C481">
            <v>333</v>
          </cell>
          <cell r="D481" t="str">
            <v>1 L</v>
          </cell>
        </row>
        <row r="482">
          <cell r="A482">
            <v>1289</v>
          </cell>
          <cell r="B482" t="str">
            <v>METILATO DE SÓDIO SOLUÇÃO alcóolica</v>
          </cell>
          <cell r="C482">
            <v>333</v>
          </cell>
          <cell r="D482" t="str">
            <v>1 L</v>
          </cell>
        </row>
        <row r="483">
          <cell r="A483">
            <v>1292</v>
          </cell>
          <cell r="B483" t="str">
            <v>SILICATO DE TETRAETILA</v>
          </cell>
          <cell r="C483">
            <v>1000</v>
          </cell>
          <cell r="D483" t="str">
            <v>5 L</v>
          </cell>
        </row>
        <row r="484">
          <cell r="A484">
            <v>1293</v>
          </cell>
          <cell r="B484" t="str">
            <v>TINTURAS, MEDICINAIS</v>
          </cell>
          <cell r="C484">
            <v>333</v>
          </cell>
          <cell r="D484" t="str">
            <v>1 L</v>
          </cell>
        </row>
        <row r="485">
          <cell r="A485">
            <v>1294</v>
          </cell>
          <cell r="B485" t="str">
            <v>TOLUENO</v>
          </cell>
          <cell r="C485">
            <v>333</v>
          </cell>
          <cell r="D485" t="str">
            <v>1 L</v>
          </cell>
        </row>
        <row r="486">
          <cell r="A486">
            <v>1295</v>
          </cell>
          <cell r="B486" t="str">
            <v>TRICLOROSSILANO</v>
          </cell>
          <cell r="C486" t="str">
            <v>ZERO</v>
          </cell>
          <cell r="D486" t="str">
            <v>ZERO</v>
          </cell>
        </row>
        <row r="487">
          <cell r="A487">
            <v>1296</v>
          </cell>
          <cell r="B487" t="str">
            <v>TRIETILAMINA</v>
          </cell>
          <cell r="C487">
            <v>333</v>
          </cell>
          <cell r="D487" t="str">
            <v>1 L</v>
          </cell>
        </row>
        <row r="488">
          <cell r="A488">
            <v>1297</v>
          </cell>
          <cell r="B488" t="str">
            <v>TRIMETILAMINA, SOLUÇÃO AQUOSA, com até 50% de trimetilamina, em massa.</v>
          </cell>
          <cell r="C488">
            <v>20</v>
          </cell>
          <cell r="D488" t="str">
            <v>1 L</v>
          </cell>
        </row>
        <row r="489">
          <cell r="A489">
            <v>1298</v>
          </cell>
          <cell r="B489" t="str">
            <v>TRIMETILCLOROSSILANO</v>
          </cell>
          <cell r="C489">
            <v>333</v>
          </cell>
          <cell r="D489" t="str">
            <v>ZERO</v>
          </cell>
        </row>
        <row r="490">
          <cell r="A490">
            <v>1299</v>
          </cell>
          <cell r="B490" t="str">
            <v>TEREBENTINA</v>
          </cell>
          <cell r="C490">
            <v>1000</v>
          </cell>
          <cell r="D490" t="str">
            <v>5 L</v>
          </cell>
        </row>
        <row r="491">
          <cell r="A491">
            <v>1300</v>
          </cell>
          <cell r="B491" t="str">
            <v>TEREBENTINA, SUBSTITUTOS</v>
          </cell>
          <cell r="C491">
            <v>333</v>
          </cell>
          <cell r="D491" t="str">
            <v>1 L</v>
          </cell>
        </row>
        <row r="492">
          <cell r="A492">
            <v>1301</v>
          </cell>
          <cell r="B492" t="str">
            <v>ACETATO DE VINILA, ESTABILIZADO</v>
          </cell>
          <cell r="C492">
            <v>333</v>
          </cell>
          <cell r="D492" t="str">
            <v>1 L</v>
          </cell>
        </row>
        <row r="493">
          <cell r="A493">
            <v>1302</v>
          </cell>
          <cell r="B493" t="str">
            <v>ÉTER ETILVINÍLICO, ESTABILIZADO</v>
          </cell>
          <cell r="C493">
            <v>20</v>
          </cell>
          <cell r="D493" t="str">
            <v>ZERO</v>
          </cell>
        </row>
        <row r="494">
          <cell r="A494">
            <v>1303</v>
          </cell>
          <cell r="B494" t="str">
            <v>CLORETO DE VINILIDENO, ESTABILIZADO</v>
          </cell>
          <cell r="C494">
            <v>20</v>
          </cell>
          <cell r="D494" t="str">
            <v>ZERO</v>
          </cell>
        </row>
        <row r="495">
          <cell r="A495">
            <v>1304</v>
          </cell>
          <cell r="B495" t="str">
            <v>ÉTER ISOBUTILVINÍLICO, ESTABILIZADO</v>
          </cell>
          <cell r="C495">
            <v>333</v>
          </cell>
          <cell r="D495" t="str">
            <v>1 L</v>
          </cell>
        </row>
        <row r="496">
          <cell r="A496">
            <v>1305</v>
          </cell>
          <cell r="B496" t="str">
            <v>VINILTRICLOROSSILANO</v>
          </cell>
          <cell r="C496">
            <v>20</v>
          </cell>
          <cell r="D496" t="str">
            <v>ZERO</v>
          </cell>
        </row>
        <row r="497">
          <cell r="A497">
            <v>1306</v>
          </cell>
          <cell r="B497" t="str">
            <v>PRESERVATIVOS PARA MADEIRA, LÍQUIDOS</v>
          </cell>
          <cell r="C497">
            <v>333</v>
          </cell>
          <cell r="D497" t="str">
            <v>5 L</v>
          </cell>
        </row>
        <row r="498">
          <cell r="A498">
            <v>1307</v>
          </cell>
          <cell r="B498" t="str">
            <v>XILENOS</v>
          </cell>
          <cell r="C498">
            <v>333</v>
          </cell>
          <cell r="D498" t="str">
            <v>1 L</v>
          </cell>
        </row>
        <row r="499">
          <cell r="A499">
            <v>1308</v>
          </cell>
          <cell r="B499" t="str">
            <v>ZIRCÔNIO, SUSPENSÃO EM LÍQUIDO INFLAMÁVEL</v>
          </cell>
          <cell r="C499">
            <v>20</v>
          </cell>
          <cell r="D499" t="str">
            <v>1 L</v>
          </cell>
        </row>
        <row r="500">
          <cell r="A500">
            <v>1309</v>
          </cell>
          <cell r="B500" t="str">
            <v>ALUMÍNIO EM PÓ, REVESTIDO.</v>
          </cell>
          <cell r="C500">
            <v>333</v>
          </cell>
          <cell r="D500" t="str">
            <v>1 kg</v>
          </cell>
        </row>
        <row r="501">
          <cell r="A501">
            <v>1310</v>
          </cell>
          <cell r="B501" t="str">
            <v>PICRATO DE AMÔNIO, UMEDECIDO com, no mínimo, 10% de água, em massa</v>
          </cell>
          <cell r="C501">
            <v>20</v>
          </cell>
          <cell r="D501" t="str">
            <v>ZERO</v>
          </cell>
        </row>
        <row r="502">
          <cell r="A502">
            <v>1312</v>
          </cell>
          <cell r="B502" t="str">
            <v>BORNEOL</v>
          </cell>
          <cell r="C502">
            <v>1000</v>
          </cell>
          <cell r="D502" t="str">
            <v>5 kg</v>
          </cell>
        </row>
        <row r="503">
          <cell r="A503">
            <v>1313</v>
          </cell>
          <cell r="B503" t="str">
            <v>RESINATO DE CÁLCIO</v>
          </cell>
          <cell r="C503">
            <v>1000</v>
          </cell>
          <cell r="D503" t="str">
            <v>5 kg</v>
          </cell>
        </row>
        <row r="504">
          <cell r="A504">
            <v>1314</v>
          </cell>
          <cell r="B504" t="str">
            <v>RESINATO DE CÁLCIO, FUNDIDO</v>
          </cell>
          <cell r="C504">
            <v>1000</v>
          </cell>
          <cell r="D504" t="str">
            <v>5 kg</v>
          </cell>
        </row>
        <row r="505">
          <cell r="A505">
            <v>1318</v>
          </cell>
          <cell r="B505" t="str">
            <v>RESINATO DE COBALTO, PRECIPITADO</v>
          </cell>
          <cell r="C505">
            <v>1000</v>
          </cell>
          <cell r="D505" t="str">
            <v>5 kg</v>
          </cell>
        </row>
        <row r="506">
          <cell r="A506">
            <v>1320</v>
          </cell>
          <cell r="B506" t="str">
            <v>DINITROFENOL, UMEDECIDO com no mínimo, 15% de água, em massa</v>
          </cell>
          <cell r="C506">
            <v>20</v>
          </cell>
          <cell r="D506" t="str">
            <v>ZERO</v>
          </cell>
        </row>
        <row r="507">
          <cell r="A507">
            <v>1321</v>
          </cell>
          <cell r="B507" t="str">
            <v>DINITROFENOLATOS, UMEDECIDOS com no mínimo 15% de água, em massa</v>
          </cell>
          <cell r="C507">
            <v>20</v>
          </cell>
          <cell r="D507" t="str">
            <v>ZERO</v>
          </cell>
        </row>
        <row r="508">
          <cell r="A508">
            <v>1322</v>
          </cell>
          <cell r="B508" t="str">
            <v>DINITRORESORCINOL, UMEDECIDO com no mínimo 15% de água, em massa</v>
          </cell>
          <cell r="C508">
            <v>20</v>
          </cell>
          <cell r="D508" t="str">
            <v>ZERO</v>
          </cell>
        </row>
        <row r="509">
          <cell r="A509">
            <v>1323</v>
          </cell>
          <cell r="B509" t="str">
            <v>FERROCÉRIO</v>
          </cell>
          <cell r="C509">
            <v>333</v>
          </cell>
          <cell r="D509" t="str">
            <v>1 kg</v>
          </cell>
        </row>
        <row r="510">
          <cell r="A510">
            <v>1324</v>
          </cell>
          <cell r="B510" t="str">
            <v>FILMES, À BASE DE NITROCELULOSE, revestidos de gelatina, exceto refugos</v>
          </cell>
          <cell r="C510">
            <v>1000</v>
          </cell>
          <cell r="D510" t="str">
            <v>5 kg</v>
          </cell>
        </row>
        <row r="511">
          <cell r="A511">
            <v>1325</v>
          </cell>
          <cell r="B511" t="str">
            <v>SÓLIDO INFLAMÁVEL, ORGÂNICO, N.E.</v>
          </cell>
          <cell r="C511">
            <v>333</v>
          </cell>
          <cell r="D511" t="str">
            <v>1 kg</v>
          </cell>
        </row>
        <row r="512">
          <cell r="A512">
            <v>1326</v>
          </cell>
          <cell r="B512" t="str">
            <v>HÁFNIO   EM   PÓ,   UMEDECIDO,   com   no   mínimo   25%   de    água    (deve    ser   visível   um   excesso    de    água):</v>
          </cell>
        </row>
        <row r="513">
          <cell r="A513">
            <v>1327</v>
          </cell>
          <cell r="B513" t="str">
            <v>FENO ou PALHA</v>
          </cell>
          <cell r="C513" t="str">
            <v>ILIMITADA</v>
          </cell>
          <cell r="D513" t="str">
            <v>3 kg</v>
          </cell>
        </row>
        <row r="514">
          <cell r="A514">
            <v>1328</v>
          </cell>
          <cell r="B514" t="str">
            <v>HEXAMETILENOTETRAMINA</v>
          </cell>
          <cell r="C514">
            <v>1000</v>
          </cell>
          <cell r="D514" t="str">
            <v>5 kg</v>
          </cell>
        </row>
        <row r="515">
          <cell r="A515">
            <v>1330</v>
          </cell>
          <cell r="B515" t="str">
            <v>RESINATO DE MANGANÊS</v>
          </cell>
          <cell r="C515">
            <v>1000</v>
          </cell>
          <cell r="D515" t="str">
            <v>5 kg</v>
          </cell>
        </row>
        <row r="516">
          <cell r="A516">
            <v>1331</v>
          </cell>
          <cell r="B516" t="str">
            <v>FÓSFOROS, "RISQUE EM QUALQUER LUGAR"</v>
          </cell>
          <cell r="C516" t="str">
            <v>ILIMITADA</v>
          </cell>
          <cell r="D516" t="str">
            <v>5 kg</v>
          </cell>
        </row>
        <row r="517">
          <cell r="A517">
            <v>1332</v>
          </cell>
          <cell r="B517" t="str">
            <v>METALDEÍDO</v>
          </cell>
          <cell r="C517">
            <v>1000</v>
          </cell>
          <cell r="D517" t="str">
            <v>5 kg</v>
          </cell>
        </row>
        <row r="518">
          <cell r="A518">
            <v>1333</v>
          </cell>
          <cell r="B518" t="str">
            <v>CÉRIO, chapas, lingotes ou barras.</v>
          </cell>
          <cell r="C518">
            <v>333</v>
          </cell>
          <cell r="D518" t="str">
            <v>1 kg</v>
          </cell>
        </row>
        <row r="519">
          <cell r="A519">
            <v>1334</v>
          </cell>
          <cell r="B519" t="str">
            <v>NAFTALENO, BRUTO, ou NAFTALENO, REFINADO.</v>
          </cell>
          <cell r="C519">
            <v>1000</v>
          </cell>
          <cell r="D519" t="str">
            <v>5 kg</v>
          </cell>
        </row>
        <row r="520">
          <cell r="A520">
            <v>1336</v>
          </cell>
          <cell r="B520" t="str">
            <v>NITROGUANIDINA (PICRITA), UMEDECIDA com no mínimo 20% de água, em massa</v>
          </cell>
          <cell r="C520">
            <v>20</v>
          </cell>
          <cell r="D520" t="str">
            <v>ZERO</v>
          </cell>
        </row>
        <row r="521">
          <cell r="A521">
            <v>1337</v>
          </cell>
          <cell r="B521" t="str">
            <v>NITROAMIDO, UMEDECIDO com no mínimo 20% de água, em massa</v>
          </cell>
          <cell r="C521">
            <v>20</v>
          </cell>
          <cell r="D521" t="str">
            <v>ZERO</v>
          </cell>
        </row>
        <row r="522">
          <cell r="A522">
            <v>1338</v>
          </cell>
          <cell r="B522" t="str">
            <v>FÓSFORO, AMORFO</v>
          </cell>
          <cell r="C522">
            <v>1000</v>
          </cell>
          <cell r="D522" t="str">
            <v>5 kg</v>
          </cell>
        </row>
        <row r="523">
          <cell r="A523">
            <v>1339</v>
          </cell>
          <cell r="B523" t="str">
            <v>HEPTASSULFETO DE FÓSFORO, isento de fósforo amarelo e branco</v>
          </cell>
          <cell r="C523">
            <v>333</v>
          </cell>
          <cell r="D523" t="str">
            <v>1 kg</v>
          </cell>
        </row>
        <row r="524">
          <cell r="A524">
            <v>1340</v>
          </cell>
          <cell r="B524" t="str">
            <v>PENTASSULFETO DE FÓSFORO, isento de fósforo amarelo e branco</v>
          </cell>
          <cell r="C524" t="str">
            <v>ZERO</v>
          </cell>
          <cell r="D524" t="str">
            <v>500 g</v>
          </cell>
        </row>
        <row r="525">
          <cell r="A525">
            <v>1341</v>
          </cell>
          <cell r="B525" t="str">
            <v>SESQUISSULFETO DE FÓSFORO, isento de fósforo amarelo e branco</v>
          </cell>
          <cell r="C525">
            <v>333</v>
          </cell>
          <cell r="D525" t="str">
            <v>1 kg</v>
          </cell>
        </row>
        <row r="526">
          <cell r="A526">
            <v>1343</v>
          </cell>
          <cell r="B526" t="str">
            <v>TRISSULFETO DE FÓSFORO, isento de fósforo amarelo e branco</v>
          </cell>
          <cell r="C526">
            <v>333</v>
          </cell>
          <cell r="D526" t="str">
            <v>1 kg</v>
          </cell>
        </row>
        <row r="527">
          <cell r="A527">
            <v>1344</v>
          </cell>
          <cell r="B527" t="str">
            <v>TRINITROFENOL, UMEDECIDO com no mínimo 30% de água, em massa</v>
          </cell>
          <cell r="C527">
            <v>20</v>
          </cell>
          <cell r="D527" t="str">
            <v>ZERO</v>
          </cell>
        </row>
        <row r="528">
          <cell r="A528">
            <v>1345</v>
          </cell>
          <cell r="B528" t="str">
            <v>BORRACHA,  SOBRAS  ou  BORRACHA  RESÍDUO,  em  pó  ou  em  grãos  de  até  840  micra,  contendo  mais  de  45%  de</v>
          </cell>
        </row>
        <row r="529">
          <cell r="A529">
            <v>1346</v>
          </cell>
          <cell r="B529" t="str">
            <v>SILÍCIO EM PÓ, AMORFO</v>
          </cell>
          <cell r="C529">
            <v>1000</v>
          </cell>
          <cell r="D529" t="str">
            <v>5 kg</v>
          </cell>
        </row>
        <row r="530">
          <cell r="A530">
            <v>1347</v>
          </cell>
          <cell r="B530" t="str">
            <v>PICRATO DE PRATA, UMEDECIDO com no mínimo 30% de água, em massa</v>
          </cell>
          <cell r="C530">
            <v>20</v>
          </cell>
          <cell r="D530" t="str">
            <v>ZERO</v>
          </cell>
        </row>
        <row r="531">
          <cell r="A531">
            <v>1348</v>
          </cell>
          <cell r="B531" t="str">
            <v>DINITRO-o-CRESOLATO DE SÓDIO, UMEDECIDO com no mínimo 15% de água, em massa</v>
          </cell>
          <cell r="C531">
            <v>20</v>
          </cell>
          <cell r="D531" t="str">
            <v>ZERO</v>
          </cell>
        </row>
        <row r="532">
          <cell r="A532">
            <v>1349</v>
          </cell>
          <cell r="B532" t="str">
            <v>PICRAMATO DE SÓDIO, UMEDECIDO com no mínimo 20% de água, em massa</v>
          </cell>
          <cell r="C532">
            <v>20</v>
          </cell>
          <cell r="D532" t="str">
            <v>ZERO</v>
          </cell>
        </row>
        <row r="533">
          <cell r="A533">
            <v>1350</v>
          </cell>
          <cell r="B533" t="str">
            <v>ENXOFRE</v>
          </cell>
          <cell r="C533">
            <v>1000</v>
          </cell>
          <cell r="D533" t="str">
            <v>5 kg</v>
          </cell>
        </row>
        <row r="534">
          <cell r="A534">
            <v>1352</v>
          </cell>
          <cell r="B534" t="str">
            <v>TITÂNIO EM PÓ, UMEDECIDO com no mínimo 25% de água (deve apresentar visível excesso de água):                       (a) mecanicamente  produzido,  partículas  com  dimensões  inferiores  a  53  micra</v>
          </cell>
        </row>
        <row r="535">
          <cell r="A535">
            <v>1353</v>
          </cell>
          <cell r="B535" t="str">
            <v>FIBRAS ou TECIDOS IMPREGNADOS COM NITROCELULOSE FRACAMENTE NITRADA, N.E.</v>
          </cell>
          <cell r="C535">
            <v>1000</v>
          </cell>
          <cell r="D535" t="str">
            <v>5 kg</v>
          </cell>
        </row>
        <row r="536">
          <cell r="A536">
            <v>1354</v>
          </cell>
          <cell r="B536" t="str">
            <v>TRINITROBENZENO, UMEDECIDO com no mínimo 30 % de água, em massa</v>
          </cell>
          <cell r="C536">
            <v>20</v>
          </cell>
          <cell r="D536" t="str">
            <v>ZERO</v>
          </cell>
        </row>
        <row r="537">
          <cell r="A537">
            <v>1355</v>
          </cell>
          <cell r="B537" t="str">
            <v>ÁCIDO TRINITROBENZÓICO, UMEDECIDO com no mínimo 30% de água, em massa</v>
          </cell>
          <cell r="C537">
            <v>20</v>
          </cell>
          <cell r="D537" t="str">
            <v>ZERO</v>
          </cell>
        </row>
        <row r="538">
          <cell r="A538">
            <v>1356</v>
          </cell>
          <cell r="B538" t="str">
            <v>TRINITROTOLUENO (TNT), UMEDECIDO com no mínimo 30% de água, em massa</v>
          </cell>
          <cell r="C538">
            <v>20</v>
          </cell>
          <cell r="D538" t="str">
            <v>ZERO</v>
          </cell>
        </row>
        <row r="539">
          <cell r="A539">
            <v>1357</v>
          </cell>
          <cell r="B539" t="str">
            <v>NITRATO DE URÉIA, UMEDECIDO com no mínimo 20% de água, em massa</v>
          </cell>
          <cell r="C539">
            <v>20</v>
          </cell>
          <cell r="D539" t="str">
            <v>ZERO</v>
          </cell>
        </row>
        <row r="540">
          <cell r="A540">
            <v>1358</v>
          </cell>
          <cell r="B540" t="str">
            <v>ZIRCÔNIO EM PÓ, UMEDECIDO com no mínimo 25% de água (deve ser visível um excesso de água):                              (a) mecanicamente  produzido,  partículas  com  dimensões  inferiores  a  53  micra</v>
          </cell>
        </row>
        <row r="541">
          <cell r="A541">
            <v>1360</v>
          </cell>
          <cell r="B541" t="str">
            <v>FOSFETO DE CÁLCIO</v>
          </cell>
          <cell r="C541">
            <v>20</v>
          </cell>
          <cell r="D541" t="str">
            <v>ZERO</v>
          </cell>
        </row>
        <row r="542">
          <cell r="A542">
            <v>1361</v>
          </cell>
          <cell r="B542" t="str">
            <v>CARVÃO, de origem animal ou vegetal</v>
          </cell>
          <cell r="C542">
            <v>333</v>
          </cell>
          <cell r="D542" t="str">
            <v>ZERO</v>
          </cell>
        </row>
        <row r="543">
          <cell r="A543">
            <v>1362</v>
          </cell>
          <cell r="B543" t="str">
            <v>CARVÃO ATIVADO</v>
          </cell>
          <cell r="C543" t="str">
            <v>ILIMITADA</v>
          </cell>
          <cell r="D543" t="str">
            <v>ZERO</v>
          </cell>
        </row>
        <row r="544">
          <cell r="A544">
            <v>1363</v>
          </cell>
          <cell r="B544" t="str">
            <v>COPRA</v>
          </cell>
          <cell r="C544">
            <v>1000</v>
          </cell>
          <cell r="D544" t="str">
            <v>ZERO</v>
          </cell>
        </row>
        <row r="545">
          <cell r="A545">
            <v>1364</v>
          </cell>
          <cell r="B545" t="str">
            <v>ALGODÃO RESÍDUOS, OLEOSOS ou RESÍDUOS OLEOSOS DE ALGODÃO ou RESÍDUOS DE ALGODÃO, OLEOSOS</v>
          </cell>
          <cell r="C545">
            <v>1000</v>
          </cell>
          <cell r="D545" t="str">
            <v>ZERO</v>
          </cell>
        </row>
        <row r="546">
          <cell r="A546">
            <v>1365</v>
          </cell>
          <cell r="B546" t="str">
            <v>ALGODÃO, ÚMIDO, com percentual de umidade superior a 10%</v>
          </cell>
          <cell r="C546">
            <v>1000</v>
          </cell>
          <cell r="D546" t="str">
            <v>ZERO</v>
          </cell>
        </row>
        <row r="547">
          <cell r="A547">
            <v>1369</v>
          </cell>
          <cell r="B547" t="str">
            <v>p-NITROSODIMETILANILINA</v>
          </cell>
          <cell r="C547">
            <v>333</v>
          </cell>
          <cell r="D547" t="str">
            <v>ZERO</v>
          </cell>
        </row>
        <row r="548">
          <cell r="A548">
            <v>1372</v>
          </cell>
          <cell r="B548" t="str">
            <v>FIBRAS, ANIMAL ou FIBRAS, VEGETAL queimadas, úmidas ou molhadas</v>
          </cell>
          <cell r="C548">
            <v>333</v>
          </cell>
          <cell r="D548" t="str">
            <v>ZERO</v>
          </cell>
        </row>
        <row r="549">
          <cell r="A549">
            <v>1373</v>
          </cell>
          <cell r="B549" t="str">
            <v>FIBRAS ou TECIDOS, ANIMAL ou VEGETAL ou SINTÉTICOS, N.E., com óleo</v>
          </cell>
          <cell r="C549">
            <v>1000</v>
          </cell>
          <cell r="D549" t="str">
            <v>ZERO</v>
          </cell>
        </row>
        <row r="550">
          <cell r="A550">
            <v>1374</v>
          </cell>
          <cell r="B550" t="str">
            <v>FARINHA DE PEIXE (RESTOS DE PEIXE), NÃO-ESTABILIZADA</v>
          </cell>
          <cell r="C550">
            <v>333</v>
          </cell>
          <cell r="D550" t="str">
            <v>ZERO</v>
          </cell>
        </row>
        <row r="551">
          <cell r="A551">
            <v>1376</v>
          </cell>
          <cell r="B551" t="str">
            <v>ÓXIDO DE FERRO, RESIDUAL, ou FERRO-ESPONJA, RESIDUAL, obtido da purificação de gás de carvão</v>
          </cell>
          <cell r="C551">
            <v>1000</v>
          </cell>
          <cell r="D551" t="str">
            <v>ZERO</v>
          </cell>
        </row>
        <row r="552">
          <cell r="A552">
            <v>1378</v>
          </cell>
          <cell r="B552" t="str">
            <v>CATALISADOR METÁLICO, UMEDECIDO com visível excesso de líquido</v>
          </cell>
          <cell r="C552">
            <v>333</v>
          </cell>
          <cell r="D552" t="str">
            <v>ZERO</v>
          </cell>
        </row>
        <row r="553">
          <cell r="A553">
            <v>1379</v>
          </cell>
          <cell r="B553" t="str">
            <v>PAPEL, TRATADO COM ÓLEO NÃO-SATURADO, úmido (inclusive papel carbono)</v>
          </cell>
          <cell r="C553">
            <v>1000</v>
          </cell>
          <cell r="D553" t="str">
            <v>ZERO</v>
          </cell>
        </row>
        <row r="554">
          <cell r="A554">
            <v>1380</v>
          </cell>
          <cell r="B554" t="str">
            <v>PENTABORANA</v>
          </cell>
          <cell r="C554" t="str">
            <v>ZERO</v>
          </cell>
          <cell r="D554" t="str">
            <v>ZERO</v>
          </cell>
        </row>
        <row r="555">
          <cell r="A555">
            <v>1381</v>
          </cell>
          <cell r="B555" t="str">
            <v>FÓSFORO, BRANCO ou AMARELO, SECO ou SOB ÁGUA ou EM SOLUÇÃO</v>
          </cell>
          <cell r="C555" t="str">
            <v>ZERO</v>
          </cell>
          <cell r="D555" t="str">
            <v>ZERO</v>
          </cell>
        </row>
        <row r="556">
          <cell r="A556">
            <v>1382</v>
          </cell>
          <cell r="B556" t="str">
            <v>SULFETO DE POTÁSSIO, ANIDRO, ou SULFETO DE POTÁSSIO com menos de 30% de água de cristalização</v>
          </cell>
          <cell r="C556">
            <v>333</v>
          </cell>
          <cell r="D556" t="str">
            <v>ZERO</v>
          </cell>
        </row>
        <row r="557">
          <cell r="A557">
            <v>1383</v>
          </cell>
          <cell r="B557" t="str">
            <v>METAL PIROFÓRICO, N.E. ou LIGA PIROFÓRICA, N.E.</v>
          </cell>
          <cell r="C557" t="str">
            <v>ZERO</v>
          </cell>
          <cell r="D557" t="str">
            <v>ZERO</v>
          </cell>
        </row>
        <row r="558">
          <cell r="A558">
            <v>1384</v>
          </cell>
          <cell r="B558" t="str">
            <v>DITIONITO DE SÓDIO (HIDROSSULFITO DE SÓDIO)</v>
          </cell>
          <cell r="C558">
            <v>333</v>
          </cell>
          <cell r="D558" t="str">
            <v>ZERO</v>
          </cell>
        </row>
        <row r="559">
          <cell r="A559">
            <v>1385</v>
          </cell>
          <cell r="B559" t="str">
            <v>SULFETO DE SÓDIO ANIDRO, ou SULFETO DE SÓDIO com menos de 30% de água de cristalização</v>
          </cell>
          <cell r="C559">
            <v>333</v>
          </cell>
          <cell r="D559" t="str">
            <v>ZERO</v>
          </cell>
        </row>
        <row r="560">
          <cell r="A560">
            <v>1386</v>
          </cell>
          <cell r="B560" t="str">
            <v>TORTA OLEAGINOSA com mais de 1,5% de óleo e até 11% de umidade</v>
          </cell>
          <cell r="C560">
            <v>1000</v>
          </cell>
          <cell r="D560" t="str">
            <v>ZERO</v>
          </cell>
        </row>
        <row r="561">
          <cell r="A561">
            <v>1387</v>
          </cell>
          <cell r="B561" t="str">
            <v>RESÍDUO DE LÃ,  ÚMIDO ou MOLHADO</v>
          </cell>
          <cell r="C561">
            <v>1000</v>
          </cell>
          <cell r="D561" t="str">
            <v>ZERO</v>
          </cell>
        </row>
        <row r="562">
          <cell r="A562">
            <v>1389</v>
          </cell>
          <cell r="B562" t="str">
            <v>AMÁLGAMA DE METAL ALCALINO, LÍQUIDA</v>
          </cell>
          <cell r="C562">
            <v>20</v>
          </cell>
          <cell r="D562" t="str">
            <v>ZERO</v>
          </cell>
        </row>
        <row r="563">
          <cell r="A563">
            <v>1390</v>
          </cell>
          <cell r="B563" t="str">
            <v>AMIDAS DE METAL ALCALINO</v>
          </cell>
          <cell r="C563" t="str">
            <v>ZERO</v>
          </cell>
          <cell r="D563" t="str">
            <v>500 g</v>
          </cell>
        </row>
        <row r="564">
          <cell r="A564">
            <v>1391</v>
          </cell>
          <cell r="B564" t="str">
            <v>METAL ALCALINO, DISPERSÃO, ou METAL ALCALINO-TERROSO, DISPERSÃO</v>
          </cell>
          <cell r="C564">
            <v>20</v>
          </cell>
          <cell r="D564" t="str">
            <v>ZERO</v>
          </cell>
        </row>
        <row r="565">
          <cell r="A565">
            <v>1392</v>
          </cell>
          <cell r="B565" t="str">
            <v>AMÁLGAMA DE METAL ALCALINO-TERROSO, LÍQUIDA</v>
          </cell>
          <cell r="C565">
            <v>20</v>
          </cell>
          <cell r="D565" t="str">
            <v>ZERO</v>
          </cell>
        </row>
        <row r="566">
          <cell r="A566">
            <v>1393</v>
          </cell>
          <cell r="B566" t="str">
            <v>LIGA DE METAL ALCALINO-TERROSO, N.E.</v>
          </cell>
          <cell r="C566">
            <v>333</v>
          </cell>
          <cell r="D566" t="str">
            <v>500 g</v>
          </cell>
        </row>
        <row r="567">
          <cell r="A567">
            <v>1394</v>
          </cell>
          <cell r="B567" t="str">
            <v>CARBURETO DE ALUMÍNIO</v>
          </cell>
          <cell r="C567">
            <v>333</v>
          </cell>
          <cell r="D567" t="str">
            <v>500 g</v>
          </cell>
        </row>
        <row r="568">
          <cell r="A568">
            <v>1395</v>
          </cell>
          <cell r="B568" t="str">
            <v>ALUMÍNIO-FERRO-SILÍCIO EM PÓ</v>
          </cell>
          <cell r="C568">
            <v>333</v>
          </cell>
          <cell r="D568" t="str">
            <v>500 g</v>
          </cell>
        </row>
        <row r="569">
          <cell r="A569">
            <v>1396</v>
          </cell>
          <cell r="B569" t="str">
            <v>ALUMÍNIO EM PÓ, NÃO-RESVESTIDO</v>
          </cell>
          <cell r="C569">
            <v>333</v>
          </cell>
          <cell r="D569" t="str">
            <v>1 kg</v>
          </cell>
        </row>
        <row r="570">
          <cell r="A570">
            <v>1397</v>
          </cell>
          <cell r="B570" t="str">
            <v>FOSFETO DE ALUMÍNIO</v>
          </cell>
          <cell r="C570">
            <v>20</v>
          </cell>
          <cell r="D570" t="str">
            <v>ZERO</v>
          </cell>
        </row>
        <row r="571">
          <cell r="A571">
            <v>1398</v>
          </cell>
          <cell r="B571" t="str">
            <v>ALUMÍNIO-SILÍCIO EM PÓ, NÃO-REVESTIDO</v>
          </cell>
          <cell r="C571">
            <v>1000</v>
          </cell>
          <cell r="D571" t="str">
            <v>1 kg</v>
          </cell>
        </row>
        <row r="572">
          <cell r="A572">
            <v>1400</v>
          </cell>
          <cell r="B572" t="str">
            <v>BÁRIO</v>
          </cell>
          <cell r="C572">
            <v>333</v>
          </cell>
          <cell r="D572" t="str">
            <v>500 g</v>
          </cell>
        </row>
        <row r="573">
          <cell r="A573">
            <v>1401</v>
          </cell>
          <cell r="B573" t="str">
            <v>CÁLCIO</v>
          </cell>
          <cell r="C573">
            <v>333</v>
          </cell>
          <cell r="D573" t="str">
            <v>500 g</v>
          </cell>
        </row>
        <row r="574">
          <cell r="A574">
            <v>1402</v>
          </cell>
          <cell r="B574" t="str">
            <v>CARBURETO DE CÁLCIO</v>
          </cell>
          <cell r="C574">
            <v>20</v>
          </cell>
          <cell r="D574" t="str">
            <v>500 g</v>
          </cell>
        </row>
        <row r="575">
          <cell r="A575">
            <v>1403</v>
          </cell>
          <cell r="B575" t="str">
            <v>CIANAMIDA CÁLCICA contendo mais de 0,1% de carbureto de cálcio</v>
          </cell>
          <cell r="C575" t="str">
            <v>ZERO</v>
          </cell>
          <cell r="D575" t="str">
            <v>1 kg</v>
          </cell>
        </row>
        <row r="576">
          <cell r="A576">
            <v>1404</v>
          </cell>
          <cell r="B576" t="str">
            <v>HIDRETO DE CÁLCIO</v>
          </cell>
          <cell r="C576">
            <v>20</v>
          </cell>
          <cell r="D576" t="str">
            <v>ZERO</v>
          </cell>
        </row>
        <row r="577">
          <cell r="A577">
            <v>1405</v>
          </cell>
          <cell r="B577" t="str">
            <v>SILICIETO DE CÁLCIO</v>
          </cell>
          <cell r="C577">
            <v>333</v>
          </cell>
          <cell r="D577" t="str">
            <v>1 kg</v>
          </cell>
        </row>
        <row r="578">
          <cell r="A578">
            <v>1407</v>
          </cell>
          <cell r="B578" t="str">
            <v>CÉSIO</v>
          </cell>
          <cell r="C578">
            <v>20</v>
          </cell>
          <cell r="D578" t="str">
            <v>ZERO</v>
          </cell>
        </row>
        <row r="579">
          <cell r="A579">
            <v>1408</v>
          </cell>
          <cell r="B579" t="str">
            <v>FERRO-SILÍCIO com 30% ou mais, porém menos de 90% de silício</v>
          </cell>
          <cell r="C579">
            <v>1000</v>
          </cell>
          <cell r="D579" t="str">
            <v>1 kg</v>
          </cell>
        </row>
        <row r="580">
          <cell r="A580">
            <v>1409</v>
          </cell>
          <cell r="B580" t="str">
            <v>HIDRETOS METÁLICOS, QUE REAGEM COM ÁGUA, N.E.</v>
          </cell>
          <cell r="C580">
            <v>20</v>
          </cell>
          <cell r="D580" t="str">
            <v>500 g</v>
          </cell>
        </row>
        <row r="581">
          <cell r="A581">
            <v>1410</v>
          </cell>
          <cell r="B581" t="str">
            <v>HIDRETO DE LÍTIO E ALUMÍNIO</v>
          </cell>
          <cell r="C581">
            <v>20</v>
          </cell>
          <cell r="D581" t="str">
            <v>ZERO</v>
          </cell>
        </row>
        <row r="582">
          <cell r="A582">
            <v>1411</v>
          </cell>
          <cell r="B582" t="str">
            <v>HIDRETO DE LÍTIO E ALUMÍNIO, EM ÉTER</v>
          </cell>
          <cell r="C582">
            <v>20</v>
          </cell>
          <cell r="D582" t="str">
            <v>ZERO</v>
          </cell>
        </row>
        <row r="583">
          <cell r="A583">
            <v>1413</v>
          </cell>
          <cell r="B583" t="str">
            <v>BORO-HIDRETO DE LÍTIO</v>
          </cell>
          <cell r="C583">
            <v>20</v>
          </cell>
          <cell r="D583" t="str">
            <v>ZERO</v>
          </cell>
        </row>
        <row r="584">
          <cell r="A584">
            <v>1414</v>
          </cell>
          <cell r="B584" t="str">
            <v>HIDRETO DE LÍTIO</v>
          </cell>
          <cell r="C584">
            <v>20</v>
          </cell>
          <cell r="D584" t="str">
            <v>ZERO</v>
          </cell>
        </row>
        <row r="585">
          <cell r="A585">
            <v>1415</v>
          </cell>
          <cell r="B585" t="str">
            <v>LÍTIO</v>
          </cell>
          <cell r="C585">
            <v>20</v>
          </cell>
          <cell r="D585" t="str">
            <v>ZERO</v>
          </cell>
        </row>
        <row r="586">
          <cell r="A586">
            <v>1417</v>
          </cell>
          <cell r="B586" t="str">
            <v>LÍTIO-SILÍCIO</v>
          </cell>
          <cell r="C586">
            <v>333</v>
          </cell>
          <cell r="D586" t="str">
            <v>500 g</v>
          </cell>
        </row>
        <row r="587">
          <cell r="A587">
            <v>1418</v>
          </cell>
          <cell r="B587" t="str">
            <v>MAGNÉSIO EM PÓ ou LIGAS DE MAGNÉSIO EM PÓ</v>
          </cell>
          <cell r="C587">
            <v>20</v>
          </cell>
          <cell r="D587" t="str">
            <v>ZERO</v>
          </cell>
        </row>
        <row r="588">
          <cell r="A588">
            <v>1419</v>
          </cell>
          <cell r="B588" t="str">
            <v>FOSFETO DE MAGNÉSIO E ALUMÍNIO</v>
          </cell>
          <cell r="C588">
            <v>20</v>
          </cell>
          <cell r="D588" t="str">
            <v>ZERO</v>
          </cell>
        </row>
        <row r="589">
          <cell r="A589">
            <v>1420</v>
          </cell>
          <cell r="B589" t="str">
            <v>LIGA(S) METÁLICA(S) DE POTÁSSIO LÍQUIDA(S)</v>
          </cell>
          <cell r="C589">
            <v>20</v>
          </cell>
          <cell r="D589" t="str">
            <v>ZERO</v>
          </cell>
        </row>
        <row r="590">
          <cell r="A590">
            <v>1421</v>
          </cell>
          <cell r="B590" t="str">
            <v>LIGA DE METAL ALCALINO, LÍQUIDA, N.E.</v>
          </cell>
          <cell r="C590">
            <v>20</v>
          </cell>
          <cell r="D590" t="str">
            <v>ZERO</v>
          </cell>
        </row>
        <row r="591">
          <cell r="A591">
            <v>1422</v>
          </cell>
          <cell r="B591" t="str">
            <v>LIGAS DE POTÁSSIO E SÓDIO, LÍQUIDAS</v>
          </cell>
          <cell r="C591">
            <v>20</v>
          </cell>
          <cell r="D591" t="str">
            <v>ZERO</v>
          </cell>
        </row>
        <row r="592">
          <cell r="A592">
            <v>1423</v>
          </cell>
          <cell r="B592" t="str">
            <v>RUBÍDIO</v>
          </cell>
          <cell r="C592">
            <v>20</v>
          </cell>
          <cell r="D592" t="str">
            <v>ZERO</v>
          </cell>
        </row>
        <row r="593">
          <cell r="A593">
            <v>1426</v>
          </cell>
          <cell r="B593" t="str">
            <v>BORO-HIDRETO DE SÓDIO</v>
          </cell>
          <cell r="C593">
            <v>20</v>
          </cell>
          <cell r="D593" t="str">
            <v>ZERO</v>
          </cell>
        </row>
        <row r="594">
          <cell r="A594">
            <v>1427</v>
          </cell>
          <cell r="B594" t="str">
            <v>HIDRETO DE SÓDIO</v>
          </cell>
          <cell r="C594">
            <v>20</v>
          </cell>
          <cell r="D594" t="str">
            <v>ZERO</v>
          </cell>
        </row>
        <row r="595">
          <cell r="A595">
            <v>1428</v>
          </cell>
          <cell r="B595" t="str">
            <v>SÓDIO</v>
          </cell>
          <cell r="C595">
            <v>20</v>
          </cell>
          <cell r="D595" t="str">
            <v>ZERO</v>
          </cell>
        </row>
        <row r="596">
          <cell r="A596">
            <v>1431</v>
          </cell>
          <cell r="B596" t="str">
            <v>METILATO DE SÓDIO</v>
          </cell>
          <cell r="C596">
            <v>333</v>
          </cell>
          <cell r="D596" t="str">
            <v>ZERO</v>
          </cell>
        </row>
        <row r="597">
          <cell r="A597">
            <v>1432</v>
          </cell>
          <cell r="B597" t="str">
            <v>FOSFETO DE SÓDIO</v>
          </cell>
          <cell r="C597">
            <v>20</v>
          </cell>
          <cell r="D597" t="str">
            <v>ZERO</v>
          </cell>
        </row>
        <row r="598">
          <cell r="A598">
            <v>1433</v>
          </cell>
          <cell r="B598" t="str">
            <v>FOSFETOS ESTÂNICOS</v>
          </cell>
          <cell r="C598">
            <v>20</v>
          </cell>
          <cell r="D598" t="str">
            <v>ZERO</v>
          </cell>
        </row>
        <row r="599">
          <cell r="A599">
            <v>1435</v>
          </cell>
          <cell r="B599" t="str">
            <v>ZINCO, CINZAS</v>
          </cell>
          <cell r="C599">
            <v>1000</v>
          </cell>
          <cell r="D599" t="str">
            <v>1 kg</v>
          </cell>
        </row>
        <row r="600">
          <cell r="A600">
            <v>1436</v>
          </cell>
          <cell r="B600" t="str">
            <v>ZINCO EM PÓ</v>
          </cell>
          <cell r="C600">
            <v>20</v>
          </cell>
          <cell r="D600" t="str">
            <v>ZERO</v>
          </cell>
        </row>
        <row r="601">
          <cell r="A601">
            <v>1437</v>
          </cell>
          <cell r="B601" t="str">
            <v>HIDRETO DE ZIRCÔNIO</v>
          </cell>
          <cell r="C601">
            <v>333</v>
          </cell>
          <cell r="D601" t="str">
            <v>1 kg</v>
          </cell>
        </row>
        <row r="602">
          <cell r="A602">
            <v>1438</v>
          </cell>
          <cell r="B602" t="str">
            <v>NITRATO DE ALUMÍNIO</v>
          </cell>
          <cell r="C602">
            <v>1000</v>
          </cell>
          <cell r="D602" t="str">
            <v>5 kg</v>
          </cell>
        </row>
        <row r="603">
          <cell r="A603">
            <v>1439</v>
          </cell>
          <cell r="B603" t="str">
            <v>DICROMATO DE AMÔNIO</v>
          </cell>
          <cell r="C603">
            <v>333</v>
          </cell>
          <cell r="D603" t="str">
            <v>1 kg</v>
          </cell>
        </row>
        <row r="604">
          <cell r="A604">
            <v>1442</v>
          </cell>
          <cell r="B604" t="str">
            <v>PERCLORATO DE AMÔNIO</v>
          </cell>
          <cell r="C604">
            <v>333</v>
          </cell>
          <cell r="D604" t="str">
            <v>1 kg</v>
          </cell>
        </row>
        <row r="605">
          <cell r="A605">
            <v>1444</v>
          </cell>
          <cell r="B605" t="str">
            <v>SUBSTÂNCIAS, EXPLOSIVAS, N.E.</v>
          </cell>
          <cell r="C605">
            <v>333</v>
          </cell>
          <cell r="D605" t="str">
            <v>ZERO</v>
          </cell>
        </row>
        <row r="606">
          <cell r="A606">
            <v>1444</v>
          </cell>
          <cell r="B606" t="str">
            <v>PERSULFATO DE AMÔNIO</v>
          </cell>
          <cell r="C606">
            <v>1000</v>
          </cell>
          <cell r="D606" t="str">
            <v>5 kg</v>
          </cell>
        </row>
        <row r="607">
          <cell r="A607">
            <v>1445</v>
          </cell>
          <cell r="B607" t="str">
            <v>CLORATO DE BÁRIO, SÓLIDO</v>
          </cell>
          <cell r="C607">
            <v>333</v>
          </cell>
          <cell r="D607" t="str">
            <v>1 kg</v>
          </cell>
        </row>
        <row r="608">
          <cell r="A608">
            <v>1446</v>
          </cell>
          <cell r="B608" t="str">
            <v>NITRATO DE BÁRIO</v>
          </cell>
          <cell r="C608">
            <v>333</v>
          </cell>
          <cell r="D608" t="str">
            <v>1 kg</v>
          </cell>
        </row>
        <row r="609">
          <cell r="A609">
            <v>1447</v>
          </cell>
          <cell r="B609" t="str">
            <v>PERCLORATO DE BÁRIO, SÓLIDO</v>
          </cell>
          <cell r="C609">
            <v>333</v>
          </cell>
          <cell r="D609" t="str">
            <v>1 kg</v>
          </cell>
        </row>
        <row r="610">
          <cell r="A610">
            <v>1448</v>
          </cell>
          <cell r="B610" t="str">
            <v>PERMANGANATO DE BÁRIO</v>
          </cell>
          <cell r="C610">
            <v>333</v>
          </cell>
          <cell r="D610" t="str">
            <v>1 kg</v>
          </cell>
        </row>
        <row r="611">
          <cell r="A611">
            <v>1449</v>
          </cell>
          <cell r="B611" t="str">
            <v>PERÓXIDO DE BÁRIO</v>
          </cell>
          <cell r="C611">
            <v>333</v>
          </cell>
          <cell r="D611" t="str">
            <v>1 kg</v>
          </cell>
        </row>
        <row r="612">
          <cell r="A612">
            <v>1450</v>
          </cell>
          <cell r="B612" t="str">
            <v>BROMATOS, INORGÂNICOS, N.E.</v>
          </cell>
          <cell r="C612">
            <v>333</v>
          </cell>
          <cell r="D612" t="str">
            <v>1 kg</v>
          </cell>
        </row>
        <row r="613">
          <cell r="A613">
            <v>1451</v>
          </cell>
          <cell r="B613" t="str">
            <v>NITRATO DE CÉSIO</v>
          </cell>
          <cell r="C613">
            <v>1000</v>
          </cell>
          <cell r="D613" t="str">
            <v>5 kg</v>
          </cell>
        </row>
        <row r="614">
          <cell r="A614">
            <v>1452</v>
          </cell>
          <cell r="B614" t="str">
            <v>CLORATO DE CÁLCIO</v>
          </cell>
          <cell r="C614">
            <v>333</v>
          </cell>
          <cell r="D614" t="str">
            <v>1 kg</v>
          </cell>
        </row>
        <row r="615">
          <cell r="A615">
            <v>1453</v>
          </cell>
          <cell r="B615" t="str">
            <v>CLORITO DE CÁLCIO</v>
          </cell>
          <cell r="C615">
            <v>333</v>
          </cell>
          <cell r="D615" t="str">
            <v>1 kg</v>
          </cell>
        </row>
        <row r="616">
          <cell r="A616">
            <v>1454</v>
          </cell>
          <cell r="B616" t="str">
            <v>NITRATO DE CÁLCIO</v>
          </cell>
          <cell r="C616">
            <v>1000</v>
          </cell>
          <cell r="D616" t="str">
            <v>5 kg</v>
          </cell>
        </row>
        <row r="617">
          <cell r="A617">
            <v>1455</v>
          </cell>
          <cell r="B617" t="str">
            <v>PERCLORATO DE CÁLCIO</v>
          </cell>
          <cell r="C617">
            <v>333</v>
          </cell>
          <cell r="D617" t="str">
            <v>1 kg</v>
          </cell>
        </row>
        <row r="618">
          <cell r="A618">
            <v>1456</v>
          </cell>
          <cell r="B618" t="str">
            <v>PERMANGANATO DE CÁLCIO</v>
          </cell>
          <cell r="C618">
            <v>333</v>
          </cell>
          <cell r="D618" t="str">
            <v>1 kg</v>
          </cell>
        </row>
        <row r="619">
          <cell r="A619">
            <v>1457</v>
          </cell>
          <cell r="B619" t="str">
            <v>PERÓXIDO DE CÁLCIO</v>
          </cell>
          <cell r="C619">
            <v>333</v>
          </cell>
          <cell r="D619" t="str">
            <v>1 kg</v>
          </cell>
        </row>
        <row r="620">
          <cell r="A620">
            <v>1458</v>
          </cell>
          <cell r="B620" t="str">
            <v>MISTURA DE CLORATO E BORATO</v>
          </cell>
          <cell r="C620">
            <v>333</v>
          </cell>
          <cell r="D620" t="str">
            <v>1 kg</v>
          </cell>
        </row>
        <row r="621">
          <cell r="A621">
            <v>1459</v>
          </cell>
          <cell r="B621" t="str">
            <v>MISTURA DE CLORETO E CLORATO DE MAGNÉSIO, SÓLIDA</v>
          </cell>
          <cell r="C621">
            <v>333</v>
          </cell>
          <cell r="D621" t="str">
            <v>1 kg</v>
          </cell>
        </row>
        <row r="622">
          <cell r="A622">
            <v>1461</v>
          </cell>
          <cell r="B622" t="str">
            <v>CLORATOS, INORGÂNICOS, N.E.</v>
          </cell>
          <cell r="C622">
            <v>333</v>
          </cell>
          <cell r="D622" t="str">
            <v>1 kg</v>
          </cell>
        </row>
        <row r="623">
          <cell r="A623">
            <v>1462</v>
          </cell>
          <cell r="B623" t="str">
            <v>CLORITOS, INORGÂNICOS, N.E.</v>
          </cell>
          <cell r="C623">
            <v>333</v>
          </cell>
          <cell r="D623" t="str">
            <v>1 kg</v>
          </cell>
        </row>
        <row r="624">
          <cell r="A624">
            <v>1463</v>
          </cell>
          <cell r="B624" t="str">
            <v>TRIÓXIDO DE CROMO, ANIDRO</v>
          </cell>
          <cell r="C624">
            <v>333</v>
          </cell>
          <cell r="D624" t="str">
            <v>1 kg</v>
          </cell>
        </row>
        <row r="625">
          <cell r="A625">
            <v>1465</v>
          </cell>
          <cell r="B625" t="str">
            <v>NITRATO DE DIDÍMIO</v>
          </cell>
          <cell r="C625">
            <v>1000</v>
          </cell>
          <cell r="D625" t="str">
            <v>5 kg</v>
          </cell>
        </row>
        <row r="626">
          <cell r="A626">
            <v>1466</v>
          </cell>
          <cell r="B626" t="str">
            <v>NITRATO FÉRRICO</v>
          </cell>
          <cell r="C626">
            <v>1000</v>
          </cell>
          <cell r="D626" t="str">
            <v>5 kg</v>
          </cell>
        </row>
        <row r="627">
          <cell r="A627">
            <v>1467</v>
          </cell>
          <cell r="B627" t="str">
            <v>NITRATO DE GUANIDINA</v>
          </cell>
          <cell r="C627">
            <v>1000</v>
          </cell>
          <cell r="D627" t="str">
            <v>5 kg</v>
          </cell>
        </row>
        <row r="628">
          <cell r="A628">
            <v>1469</v>
          </cell>
          <cell r="B628" t="str">
            <v>NITRATO DE CHUMBO</v>
          </cell>
          <cell r="C628">
            <v>333</v>
          </cell>
          <cell r="D628" t="str">
            <v>1 kg</v>
          </cell>
        </row>
        <row r="629">
          <cell r="A629">
            <v>1470</v>
          </cell>
          <cell r="B629" t="str">
            <v>PERCLORATO DE CHUMBO, SÓLIDO</v>
          </cell>
          <cell r="C629">
            <v>333</v>
          </cell>
          <cell r="D629" t="str">
            <v>1 kg</v>
          </cell>
        </row>
        <row r="630">
          <cell r="A630">
            <v>1471</v>
          </cell>
          <cell r="B630" t="str">
            <v>HIPOCLORITO DE LÍTIO, SECO, ou MISTURA DE HIPOCLORITO DE LÍTIO</v>
          </cell>
          <cell r="C630">
            <v>333</v>
          </cell>
          <cell r="D630" t="str">
            <v>1 kg</v>
          </cell>
        </row>
        <row r="631">
          <cell r="A631">
            <v>1472</v>
          </cell>
          <cell r="B631" t="str">
            <v>PERÓXIDO DE LÍTIO</v>
          </cell>
          <cell r="C631">
            <v>333</v>
          </cell>
          <cell r="D631" t="str">
            <v>1 kg</v>
          </cell>
        </row>
        <row r="632">
          <cell r="A632">
            <v>1473</v>
          </cell>
          <cell r="B632" t="str">
            <v>BROMATO DE MAGNÉSIO</v>
          </cell>
          <cell r="C632">
            <v>333</v>
          </cell>
          <cell r="D632" t="str">
            <v>1 kg</v>
          </cell>
        </row>
        <row r="633">
          <cell r="A633">
            <v>1474</v>
          </cell>
          <cell r="B633" t="str">
            <v>NITRATO DE MAGNÉSIO</v>
          </cell>
          <cell r="C633">
            <v>1000</v>
          </cell>
          <cell r="D633" t="str">
            <v>5 kg</v>
          </cell>
        </row>
        <row r="634">
          <cell r="A634">
            <v>1475</v>
          </cell>
          <cell r="B634" t="str">
            <v>PERCLORATO DE MAGNÉSIO</v>
          </cell>
          <cell r="C634">
            <v>333</v>
          </cell>
          <cell r="D634" t="str">
            <v>1 kg</v>
          </cell>
        </row>
        <row r="635">
          <cell r="A635">
            <v>1476</v>
          </cell>
          <cell r="B635" t="str">
            <v>PERÓXIDO DE MAGNÉSIO</v>
          </cell>
          <cell r="C635">
            <v>333</v>
          </cell>
          <cell r="D635" t="str">
            <v>1 kg</v>
          </cell>
        </row>
        <row r="636">
          <cell r="A636">
            <v>1477</v>
          </cell>
          <cell r="B636" t="str">
            <v>NITRATOS, INORGÂNICOS, N.E.</v>
          </cell>
          <cell r="C636">
            <v>333</v>
          </cell>
          <cell r="D636" t="str">
            <v>1 kg</v>
          </cell>
        </row>
        <row r="637">
          <cell r="A637">
            <v>1479</v>
          </cell>
          <cell r="B637" t="str">
            <v>SÓLIDO OXIDANTE, N.E.</v>
          </cell>
          <cell r="C637">
            <v>20</v>
          </cell>
          <cell r="D637" t="str">
            <v>1 kg</v>
          </cell>
        </row>
        <row r="638">
          <cell r="A638">
            <v>1481</v>
          </cell>
          <cell r="B638" t="str">
            <v>PERCLORATOS, INORGÂNICOS, N.E.</v>
          </cell>
          <cell r="C638">
            <v>333</v>
          </cell>
          <cell r="D638" t="str">
            <v>1 kg</v>
          </cell>
        </row>
        <row r="639">
          <cell r="A639">
            <v>1482</v>
          </cell>
          <cell r="B639" t="str">
            <v>PERMANGANATOS, INORGÂNICOS, N.E</v>
          </cell>
          <cell r="C639">
            <v>333</v>
          </cell>
          <cell r="D639" t="str">
            <v>1 kg</v>
          </cell>
        </row>
        <row r="640">
          <cell r="A640">
            <v>1483</v>
          </cell>
          <cell r="B640" t="str">
            <v>PERÓXIDOS, INORGÂNICOS, N.E.</v>
          </cell>
          <cell r="C640">
            <v>333</v>
          </cell>
          <cell r="D640" t="str">
            <v>1 kg</v>
          </cell>
        </row>
        <row r="641">
          <cell r="A641">
            <v>1484</v>
          </cell>
          <cell r="B641" t="str">
            <v>BROMATO DE POTÁSSIO</v>
          </cell>
          <cell r="C641">
            <v>333</v>
          </cell>
          <cell r="D641" t="str">
            <v>1 kg</v>
          </cell>
        </row>
        <row r="642">
          <cell r="A642">
            <v>1485</v>
          </cell>
          <cell r="B642" t="str">
            <v>CLORATO DE POTÁSSIO</v>
          </cell>
          <cell r="C642">
            <v>333</v>
          </cell>
          <cell r="D642" t="str">
            <v>1 kg</v>
          </cell>
        </row>
        <row r="643">
          <cell r="A643">
            <v>1486</v>
          </cell>
          <cell r="B643" t="str">
            <v>NITRATO DE POTÁSSIO</v>
          </cell>
          <cell r="C643">
            <v>1000</v>
          </cell>
          <cell r="D643" t="str">
            <v>5 kg</v>
          </cell>
        </row>
        <row r="644">
          <cell r="A644">
            <v>1487</v>
          </cell>
          <cell r="B644" t="str">
            <v>MISTURA DE NITRATO DE POTÁSSIO E NITRITO DE SÓDIO</v>
          </cell>
          <cell r="C644">
            <v>333</v>
          </cell>
          <cell r="D644" t="str">
            <v>1 kg</v>
          </cell>
        </row>
        <row r="645">
          <cell r="A645">
            <v>1488</v>
          </cell>
          <cell r="B645" t="str">
            <v>NITRITO DE POTÁSSIO</v>
          </cell>
          <cell r="C645">
            <v>333</v>
          </cell>
          <cell r="D645" t="str">
            <v>1 kg</v>
          </cell>
        </row>
        <row r="646">
          <cell r="A646">
            <v>1489</v>
          </cell>
          <cell r="B646" t="str">
            <v>PERCLORATO DE POTÁSSIO</v>
          </cell>
          <cell r="C646">
            <v>333</v>
          </cell>
          <cell r="D646" t="str">
            <v>1 kg</v>
          </cell>
        </row>
        <row r="647">
          <cell r="A647">
            <v>1490</v>
          </cell>
          <cell r="B647" t="str">
            <v>PERMANGANATO DE POTÁSSIO</v>
          </cell>
          <cell r="C647">
            <v>333</v>
          </cell>
          <cell r="D647" t="str">
            <v>1 kg</v>
          </cell>
        </row>
        <row r="648">
          <cell r="A648">
            <v>1491</v>
          </cell>
          <cell r="B648" t="str">
            <v>PERÓXIDO DE POTÁSSIO</v>
          </cell>
          <cell r="C648">
            <v>20</v>
          </cell>
          <cell r="D648" t="str">
            <v>ZERO</v>
          </cell>
        </row>
        <row r="649">
          <cell r="A649">
            <v>1492</v>
          </cell>
          <cell r="B649" t="str">
            <v>PERSULFATO DE POTÁSSIO</v>
          </cell>
          <cell r="C649">
            <v>1000</v>
          </cell>
          <cell r="D649" t="str">
            <v>5 kg</v>
          </cell>
        </row>
        <row r="650">
          <cell r="A650">
            <v>1493</v>
          </cell>
          <cell r="B650" t="str">
            <v>NITRATO DE PRATA</v>
          </cell>
          <cell r="C650">
            <v>333</v>
          </cell>
          <cell r="D650" t="str">
            <v>1 kg</v>
          </cell>
        </row>
        <row r="651">
          <cell r="A651">
            <v>1494</v>
          </cell>
          <cell r="B651" t="str">
            <v>BROMATO DE SÓDIO</v>
          </cell>
          <cell r="C651">
            <v>333</v>
          </cell>
          <cell r="D651" t="str">
            <v>1 kg</v>
          </cell>
        </row>
        <row r="652">
          <cell r="A652">
            <v>1495</v>
          </cell>
          <cell r="B652" t="str">
            <v>CLORATO DE SÓDIO</v>
          </cell>
          <cell r="C652">
            <v>333</v>
          </cell>
          <cell r="D652" t="str">
            <v>1 kg</v>
          </cell>
        </row>
        <row r="653">
          <cell r="A653">
            <v>1496</v>
          </cell>
          <cell r="B653" t="str">
            <v>CLORITO DE SÓDIO</v>
          </cell>
          <cell r="C653">
            <v>333</v>
          </cell>
          <cell r="D653" t="str">
            <v>1 kg</v>
          </cell>
        </row>
        <row r="654">
          <cell r="A654">
            <v>1498</v>
          </cell>
          <cell r="B654" t="str">
            <v>NITRATO DE SÓDIO</v>
          </cell>
          <cell r="C654">
            <v>1000</v>
          </cell>
          <cell r="D654" t="str">
            <v>5 kg</v>
          </cell>
        </row>
        <row r="655">
          <cell r="A655">
            <v>1499</v>
          </cell>
          <cell r="B655" t="str">
            <v>MISTURA DE NITRATO DE SÓDIO E NITRATO DE POTÁSSIO</v>
          </cell>
          <cell r="C655">
            <v>1000</v>
          </cell>
          <cell r="D655" t="str">
            <v>5 kg</v>
          </cell>
        </row>
        <row r="656">
          <cell r="A656">
            <v>1500</v>
          </cell>
          <cell r="B656" t="str">
            <v>NITRITO DE SÓDIO</v>
          </cell>
          <cell r="C656">
            <v>1000</v>
          </cell>
          <cell r="D656" t="str">
            <v>5 kg</v>
          </cell>
        </row>
        <row r="657">
          <cell r="A657">
            <v>1502</v>
          </cell>
          <cell r="B657" t="str">
            <v>PERCLORATO DE SÓDIO</v>
          </cell>
          <cell r="C657">
            <v>333</v>
          </cell>
          <cell r="D657" t="str">
            <v>1 kg</v>
          </cell>
        </row>
        <row r="658">
          <cell r="A658">
            <v>1503</v>
          </cell>
          <cell r="B658" t="str">
            <v>PERMANGANATO DE SÓDIO</v>
          </cell>
          <cell r="C658">
            <v>333</v>
          </cell>
          <cell r="D658" t="str">
            <v>1 kg</v>
          </cell>
        </row>
        <row r="659">
          <cell r="A659">
            <v>1504</v>
          </cell>
          <cell r="B659" t="str">
            <v>PERÓXIDO DE SÓDIO</v>
          </cell>
          <cell r="C659">
            <v>20</v>
          </cell>
          <cell r="D659" t="str">
            <v>ZERO</v>
          </cell>
        </row>
        <row r="660">
          <cell r="A660">
            <v>1505</v>
          </cell>
          <cell r="B660" t="str">
            <v>PERSULFATO DE SÓDIO</v>
          </cell>
          <cell r="C660">
            <v>1000</v>
          </cell>
          <cell r="D660" t="str">
            <v>5 kg</v>
          </cell>
        </row>
        <row r="661">
          <cell r="A661">
            <v>1506</v>
          </cell>
          <cell r="B661" t="str">
            <v>CLORATO DE ESTRÔNCIO</v>
          </cell>
          <cell r="C661">
            <v>333</v>
          </cell>
          <cell r="D661" t="str">
            <v>1 kg</v>
          </cell>
        </row>
        <row r="662">
          <cell r="A662">
            <v>1507</v>
          </cell>
          <cell r="B662" t="str">
            <v>NITRATO DE ESTRÔNCIO</v>
          </cell>
          <cell r="C662">
            <v>1000</v>
          </cell>
          <cell r="D662" t="str">
            <v>5 kg</v>
          </cell>
        </row>
        <row r="663">
          <cell r="A663">
            <v>1508</v>
          </cell>
          <cell r="B663" t="str">
            <v>PERCLORATO DE ESTRÔNCIO</v>
          </cell>
          <cell r="C663">
            <v>333</v>
          </cell>
          <cell r="D663" t="str">
            <v>1 kg</v>
          </cell>
        </row>
        <row r="664">
          <cell r="A664">
            <v>1509</v>
          </cell>
          <cell r="B664" t="str">
            <v>PERÓXIDO DE ESTRÔNCIO</v>
          </cell>
          <cell r="C664">
            <v>333</v>
          </cell>
          <cell r="D664" t="str">
            <v>1 kg</v>
          </cell>
        </row>
        <row r="665">
          <cell r="A665">
            <v>1510</v>
          </cell>
          <cell r="B665" t="str">
            <v>TETRANITROMETANO</v>
          </cell>
          <cell r="C665">
            <v>20</v>
          </cell>
          <cell r="D665" t="str">
            <v>ZERO</v>
          </cell>
        </row>
        <row r="666">
          <cell r="A666">
            <v>1511</v>
          </cell>
          <cell r="B666" t="str">
            <v>URÉIA-PEROXIDO DE HIDROGÊNIO ou HIDROPERÓXIDO DE URÉIA</v>
          </cell>
          <cell r="C666">
            <v>1000</v>
          </cell>
          <cell r="D666" t="str">
            <v>5 kg</v>
          </cell>
        </row>
        <row r="667">
          <cell r="A667">
            <v>1512</v>
          </cell>
          <cell r="B667" t="str">
            <v>NITRITO DE ZINCO E AMÔNIO</v>
          </cell>
          <cell r="C667">
            <v>333</v>
          </cell>
          <cell r="D667" t="str">
            <v>1 kg</v>
          </cell>
        </row>
        <row r="668">
          <cell r="A668">
            <v>1513</v>
          </cell>
          <cell r="B668" t="str">
            <v>CLORATO DE ZINCO</v>
          </cell>
          <cell r="C668">
            <v>333</v>
          </cell>
          <cell r="D668" t="str">
            <v>1 kg</v>
          </cell>
        </row>
        <row r="669">
          <cell r="A669">
            <v>1514</v>
          </cell>
          <cell r="B669" t="str">
            <v>NITRATO DE ZINCO</v>
          </cell>
          <cell r="C669">
            <v>333</v>
          </cell>
          <cell r="D669" t="str">
            <v>1 kg</v>
          </cell>
        </row>
        <row r="670">
          <cell r="A670">
            <v>1515</v>
          </cell>
          <cell r="B670" t="str">
            <v>PERMANGANATO DE ZINCO</v>
          </cell>
          <cell r="C670">
            <v>333</v>
          </cell>
          <cell r="D670" t="str">
            <v>1 kg</v>
          </cell>
        </row>
        <row r="671">
          <cell r="A671">
            <v>1516</v>
          </cell>
          <cell r="B671" t="str">
            <v>PERÓXIDO DE ZINCO</v>
          </cell>
          <cell r="C671">
            <v>333</v>
          </cell>
          <cell r="D671" t="str">
            <v>1 kg</v>
          </cell>
        </row>
        <row r="672">
          <cell r="A672">
            <v>1517</v>
          </cell>
          <cell r="B672" t="str">
            <v>PICRAMATO DE ZIRCÔNIO UMEDECIDO com no mínimo 20 % de água, em massa</v>
          </cell>
          <cell r="C672">
            <v>20</v>
          </cell>
          <cell r="D672" t="str">
            <v>ZERO</v>
          </cell>
        </row>
        <row r="673">
          <cell r="A673">
            <v>1541</v>
          </cell>
          <cell r="B673" t="str">
            <v>ACETONA-CIANIDRINA ESTABILIZADA</v>
          </cell>
          <cell r="C673">
            <v>20</v>
          </cell>
          <cell r="D673" t="str">
            <v>ZERO</v>
          </cell>
        </row>
        <row r="674">
          <cell r="A674">
            <v>1544</v>
          </cell>
          <cell r="B674" t="str">
            <v>ALCALÓIDES, SÓLIDOS, N.E ou SAIS DE ALCALÓIDES, SÓLIDOS N.E.</v>
          </cell>
          <cell r="C674">
            <v>20</v>
          </cell>
          <cell r="D674" t="str">
            <v>5 kg</v>
          </cell>
        </row>
        <row r="675">
          <cell r="A675">
            <v>1545</v>
          </cell>
          <cell r="B675" t="str">
            <v>ISOTIOCIANATO DE ALILA, ESTABILIZADO</v>
          </cell>
          <cell r="C675">
            <v>333</v>
          </cell>
          <cell r="D675" t="str">
            <v>100 ml</v>
          </cell>
        </row>
        <row r="676">
          <cell r="A676">
            <v>1546</v>
          </cell>
          <cell r="B676" t="str">
            <v>ARSENIATO DE AMÔNIO</v>
          </cell>
          <cell r="C676">
            <v>333</v>
          </cell>
          <cell r="D676" t="str">
            <v>500 g</v>
          </cell>
        </row>
        <row r="677">
          <cell r="A677">
            <v>1547</v>
          </cell>
          <cell r="B677" t="str">
            <v>SUBSTÂNCIAS, EXPLOSIVAS, N.E.</v>
          </cell>
          <cell r="C677" t="str">
            <v>ZERO</v>
          </cell>
          <cell r="D677" t="str">
            <v>ZERO</v>
          </cell>
        </row>
        <row r="678">
          <cell r="A678">
            <v>1547</v>
          </cell>
          <cell r="B678" t="str">
            <v>ANILINA</v>
          </cell>
          <cell r="C678">
            <v>333</v>
          </cell>
          <cell r="D678" t="str">
            <v>100 ml</v>
          </cell>
        </row>
        <row r="679">
          <cell r="A679">
            <v>1548</v>
          </cell>
          <cell r="B679" t="str">
            <v>CLORIDRATO DE ANILINA</v>
          </cell>
          <cell r="C679">
            <v>333</v>
          </cell>
          <cell r="D679" t="str">
            <v>5 kg</v>
          </cell>
        </row>
        <row r="680">
          <cell r="A680">
            <v>1549</v>
          </cell>
          <cell r="B680" t="str">
            <v>ANTIMÔNIO COMPOSTO, INORGÂNICO, SÓLIDO, N.E.</v>
          </cell>
          <cell r="C680">
            <v>333</v>
          </cell>
          <cell r="D680" t="str">
            <v>5 kg</v>
          </cell>
        </row>
        <row r="681">
          <cell r="A681">
            <v>1550</v>
          </cell>
          <cell r="B681" t="str">
            <v>LACTATO DE ANTIMÔNIO</v>
          </cell>
          <cell r="C681">
            <v>333</v>
          </cell>
          <cell r="D681" t="str">
            <v>5 kg</v>
          </cell>
        </row>
        <row r="682">
          <cell r="A682">
            <v>1551</v>
          </cell>
          <cell r="B682" t="str">
            <v>TARTARATO DE ANTIMÔNIO E POTÁSSIO</v>
          </cell>
          <cell r="C682">
            <v>333</v>
          </cell>
          <cell r="D682" t="str">
            <v>5 kg</v>
          </cell>
        </row>
        <row r="683">
          <cell r="A683">
            <v>1553</v>
          </cell>
          <cell r="B683" t="str">
            <v>ÁCIDO ARSÊNICO, LÍQUIDO</v>
          </cell>
          <cell r="C683">
            <v>20</v>
          </cell>
          <cell r="D683" t="str">
            <v>ZERO</v>
          </cell>
        </row>
        <row r="684">
          <cell r="A684">
            <v>1554</v>
          </cell>
          <cell r="B684" t="str">
            <v>ÁCIDO ARSÊNICO, SÓLIDO</v>
          </cell>
          <cell r="C684">
            <v>333</v>
          </cell>
          <cell r="D684" t="str">
            <v>500 g</v>
          </cell>
        </row>
        <row r="685">
          <cell r="A685">
            <v>1555</v>
          </cell>
          <cell r="B685" t="str">
            <v>BROMETO DE ARSÊNIO</v>
          </cell>
          <cell r="C685">
            <v>333</v>
          </cell>
          <cell r="D685" t="str">
            <v>500 g</v>
          </cell>
        </row>
        <row r="686">
          <cell r="A686">
            <v>1556</v>
          </cell>
          <cell r="B686" t="str">
            <v>ARSÊNIO COMPOSTO, LÍQUIDO, N.E., inorgânico, incluindo: Arseniatos, n.e., Arsenitos, n.e., e Sulfetos de arsênio, n.e.</v>
          </cell>
          <cell r="C686">
            <v>20</v>
          </cell>
          <cell r="D686" t="str">
            <v>100 ml</v>
          </cell>
        </row>
        <row r="687">
          <cell r="A687">
            <v>1557</v>
          </cell>
          <cell r="B687" t="str">
            <v>ARSÊNIO COMPOSTO, SÓLIDO, N.E., inorgânico, incluindo: Arseniatos, n.e., Arsenitos, n.e., e Sulfetos de arsênio, n.e.</v>
          </cell>
          <cell r="C687">
            <v>20</v>
          </cell>
          <cell r="D687" t="str">
            <v>5 kg</v>
          </cell>
        </row>
        <row r="688">
          <cell r="A688">
            <v>1558</v>
          </cell>
          <cell r="B688" t="str">
            <v>ARSÊNIO</v>
          </cell>
          <cell r="C688">
            <v>333</v>
          </cell>
          <cell r="D688" t="str">
            <v>500 g</v>
          </cell>
        </row>
        <row r="689">
          <cell r="A689">
            <v>1559</v>
          </cell>
          <cell r="B689" t="str">
            <v>PENTÓXIDO DE ARSÊNIO</v>
          </cell>
          <cell r="C689">
            <v>333</v>
          </cell>
          <cell r="D689" t="str">
            <v>500 g</v>
          </cell>
        </row>
        <row r="690">
          <cell r="A690">
            <v>1560</v>
          </cell>
          <cell r="B690" t="str">
            <v>TRICLORETO DE ARSÊNIO</v>
          </cell>
          <cell r="C690">
            <v>20</v>
          </cell>
          <cell r="D690" t="str">
            <v>ZERO</v>
          </cell>
        </row>
        <row r="691">
          <cell r="A691">
            <v>1561</v>
          </cell>
          <cell r="B691" t="str">
            <v>TRIÓXIDO DE ARSÊNIO</v>
          </cell>
          <cell r="C691">
            <v>333</v>
          </cell>
          <cell r="D691" t="str">
            <v>500 g</v>
          </cell>
        </row>
        <row r="692">
          <cell r="A692">
            <v>1562</v>
          </cell>
          <cell r="B692" t="str">
            <v>PÓ DE COMPOSTOS DE ARSÊNIO</v>
          </cell>
          <cell r="C692">
            <v>333</v>
          </cell>
          <cell r="D692" t="str">
            <v>500 g</v>
          </cell>
        </row>
        <row r="693">
          <cell r="A693">
            <v>1564</v>
          </cell>
          <cell r="B693" t="str">
            <v>BÁRIO COMPOSTO, N.E.</v>
          </cell>
          <cell r="C693">
            <v>333</v>
          </cell>
          <cell r="D693" t="str">
            <v>5 kg</v>
          </cell>
        </row>
        <row r="694">
          <cell r="A694">
            <v>1565</v>
          </cell>
          <cell r="B694" t="str">
            <v>CIANETO DE BÁRIO</v>
          </cell>
          <cell r="C694">
            <v>20</v>
          </cell>
          <cell r="D694" t="str">
            <v>ZERO</v>
          </cell>
        </row>
        <row r="695">
          <cell r="A695">
            <v>1566</v>
          </cell>
          <cell r="B695" t="str">
            <v>BERÍLIO COMPOSTO, N.E.</v>
          </cell>
          <cell r="C695">
            <v>333</v>
          </cell>
          <cell r="D695" t="str">
            <v>5 kg</v>
          </cell>
        </row>
        <row r="696">
          <cell r="A696">
            <v>1567</v>
          </cell>
          <cell r="B696" t="str">
            <v>BERÍLIO EM PÓ</v>
          </cell>
          <cell r="C696">
            <v>333</v>
          </cell>
          <cell r="D696" t="str">
            <v>500 g</v>
          </cell>
        </row>
        <row r="697">
          <cell r="A697">
            <v>1569</v>
          </cell>
          <cell r="B697" t="str">
            <v>BROMOACETONA</v>
          </cell>
          <cell r="C697">
            <v>333</v>
          </cell>
          <cell r="D697" t="str">
            <v>ZERO</v>
          </cell>
        </row>
        <row r="698">
          <cell r="A698">
            <v>1570</v>
          </cell>
          <cell r="B698" t="str">
            <v>BRUCINA</v>
          </cell>
          <cell r="C698">
            <v>20</v>
          </cell>
          <cell r="D698" t="str">
            <v>ZERO</v>
          </cell>
        </row>
        <row r="699">
          <cell r="A699">
            <v>1571</v>
          </cell>
          <cell r="B699" t="str">
            <v>AZIDA DE BÁRIO, UMEDECIDA com no mínimo 50% de água, em massa</v>
          </cell>
          <cell r="C699">
            <v>20</v>
          </cell>
          <cell r="D699" t="str">
            <v>ZERO</v>
          </cell>
        </row>
        <row r="700">
          <cell r="A700">
            <v>1572</v>
          </cell>
          <cell r="B700" t="str">
            <v>ÁCIDO CACODÍLICO</v>
          </cell>
          <cell r="C700">
            <v>333</v>
          </cell>
          <cell r="D700" t="str">
            <v>500 g</v>
          </cell>
        </row>
        <row r="701">
          <cell r="A701">
            <v>1573</v>
          </cell>
          <cell r="B701" t="str">
            <v>ARSENIATO DE CÁLCIO</v>
          </cell>
          <cell r="C701">
            <v>333</v>
          </cell>
          <cell r="D701" t="str">
            <v>500 g</v>
          </cell>
        </row>
        <row r="702">
          <cell r="A702">
            <v>1574</v>
          </cell>
          <cell r="B702" t="str">
            <v>MISTURA DE ARSENIATO DE CÁLCIO E ARSENITO DE CÁLCIO, SÓLIDA</v>
          </cell>
          <cell r="C702">
            <v>333</v>
          </cell>
          <cell r="D702" t="str">
            <v>500 g</v>
          </cell>
        </row>
        <row r="703">
          <cell r="A703">
            <v>1575</v>
          </cell>
          <cell r="B703" t="str">
            <v>CIANETO DE CÁLCIO</v>
          </cell>
          <cell r="C703">
            <v>20</v>
          </cell>
          <cell r="D703" t="str">
            <v>ZERO</v>
          </cell>
        </row>
        <row r="704">
          <cell r="A704">
            <v>1577</v>
          </cell>
          <cell r="B704" t="str">
            <v>CLORODINITROBENZENOS, LÍQUIDOS</v>
          </cell>
          <cell r="C704">
            <v>333</v>
          </cell>
          <cell r="D704" t="str">
            <v>100 ml</v>
          </cell>
        </row>
        <row r="705">
          <cell r="A705">
            <v>1578</v>
          </cell>
          <cell r="B705" t="str">
            <v>CLORONITROBENZENOS, SÓLIDOS</v>
          </cell>
          <cell r="C705">
            <v>333</v>
          </cell>
          <cell r="D705" t="str">
            <v>500 g</v>
          </cell>
        </row>
        <row r="706">
          <cell r="A706">
            <v>1579</v>
          </cell>
          <cell r="B706" t="str">
            <v>CLORIDRATO DE 4-CLORO-o- TOLUIDINA, SÓLIDO</v>
          </cell>
          <cell r="C706">
            <v>333</v>
          </cell>
          <cell r="D706" t="str">
            <v>5 kg</v>
          </cell>
        </row>
        <row r="707">
          <cell r="A707">
            <v>1580</v>
          </cell>
          <cell r="B707" t="str">
            <v>CLOROPICRINA</v>
          </cell>
          <cell r="C707">
            <v>20</v>
          </cell>
          <cell r="D707" t="str">
            <v>ZERO</v>
          </cell>
        </row>
        <row r="708">
          <cell r="A708">
            <v>1581</v>
          </cell>
          <cell r="B708" t="str">
            <v>MISTURA DE CLOROPICRINA E BROMETO DE METILA com mais de 2% cloropicrina</v>
          </cell>
          <cell r="C708">
            <v>20</v>
          </cell>
          <cell r="D708" t="str">
            <v>ZERO</v>
          </cell>
        </row>
        <row r="709">
          <cell r="A709">
            <v>1582</v>
          </cell>
          <cell r="B709" t="str">
            <v>MISTURA DE CLOROPICRINA E CLORETO DE METILA</v>
          </cell>
          <cell r="C709">
            <v>20</v>
          </cell>
          <cell r="D709" t="str">
            <v>ZERO</v>
          </cell>
        </row>
        <row r="710">
          <cell r="A710">
            <v>1583</v>
          </cell>
          <cell r="B710" t="str">
            <v>MISTURA DE CLOROPICRINA, N.E.</v>
          </cell>
          <cell r="C710">
            <v>20</v>
          </cell>
          <cell r="D710" t="str">
            <v>100 ml</v>
          </cell>
        </row>
        <row r="711">
          <cell r="A711">
            <v>1585</v>
          </cell>
          <cell r="B711" t="str">
            <v>ACETOARSENITO DE COBRE</v>
          </cell>
          <cell r="C711">
            <v>333</v>
          </cell>
          <cell r="D711" t="str">
            <v>500 g</v>
          </cell>
        </row>
        <row r="712">
          <cell r="A712">
            <v>1586</v>
          </cell>
          <cell r="B712" t="str">
            <v>ARSENITO DE COBRE</v>
          </cell>
          <cell r="C712">
            <v>333</v>
          </cell>
          <cell r="D712" t="str">
            <v>500 g</v>
          </cell>
        </row>
        <row r="713">
          <cell r="A713">
            <v>1587</v>
          </cell>
          <cell r="B713" t="str">
            <v>CIANETO DE COBRE</v>
          </cell>
          <cell r="C713">
            <v>333</v>
          </cell>
          <cell r="D713" t="str">
            <v>500 g</v>
          </cell>
        </row>
        <row r="714">
          <cell r="A714">
            <v>1588</v>
          </cell>
          <cell r="B714" t="str">
            <v>CIANETOS, INORGÂNICOS, SÓLIDOS, N.E.</v>
          </cell>
          <cell r="C714">
            <v>20</v>
          </cell>
          <cell r="D714" t="str">
            <v>5 kg</v>
          </cell>
        </row>
        <row r="715">
          <cell r="A715">
            <v>1589</v>
          </cell>
          <cell r="B715" t="str">
            <v>CLORETO DE CIANOGÊNIO, ESTABILIZADO</v>
          </cell>
          <cell r="C715">
            <v>20</v>
          </cell>
          <cell r="D715" t="str">
            <v>ZERO</v>
          </cell>
        </row>
        <row r="716">
          <cell r="A716">
            <v>1590</v>
          </cell>
          <cell r="B716" t="str">
            <v>DICLOROANILINAS, LÍQUIDAS</v>
          </cell>
          <cell r="C716">
            <v>333</v>
          </cell>
          <cell r="D716" t="str">
            <v>100 ml</v>
          </cell>
        </row>
        <row r="717">
          <cell r="A717">
            <v>1591</v>
          </cell>
          <cell r="B717" t="str">
            <v>o-DICLOROBENZENO</v>
          </cell>
          <cell r="C717">
            <v>333</v>
          </cell>
          <cell r="D717" t="str">
            <v>5 L</v>
          </cell>
        </row>
        <row r="718">
          <cell r="A718">
            <v>1593</v>
          </cell>
          <cell r="B718" t="str">
            <v>DICLOROMETANO</v>
          </cell>
          <cell r="C718">
            <v>333</v>
          </cell>
          <cell r="D718" t="str">
            <v>5 L</v>
          </cell>
        </row>
        <row r="719">
          <cell r="A719">
            <v>1594</v>
          </cell>
          <cell r="B719" t="str">
            <v>SULFATO DE DIETILA</v>
          </cell>
          <cell r="C719">
            <v>333</v>
          </cell>
          <cell r="D719" t="str">
            <v>100 ml</v>
          </cell>
        </row>
        <row r="720">
          <cell r="A720">
            <v>1595</v>
          </cell>
          <cell r="B720" t="str">
            <v>SULFATO DE DIMETILA</v>
          </cell>
          <cell r="C720">
            <v>20</v>
          </cell>
          <cell r="D720" t="str">
            <v>ZERO</v>
          </cell>
        </row>
        <row r="721">
          <cell r="A721">
            <v>1596</v>
          </cell>
          <cell r="B721" t="str">
            <v>DINITROANILINAS</v>
          </cell>
          <cell r="C721">
            <v>333</v>
          </cell>
          <cell r="D721" t="str">
            <v>500 g</v>
          </cell>
        </row>
        <row r="722">
          <cell r="A722">
            <v>1597</v>
          </cell>
          <cell r="B722" t="str">
            <v>DINITROBENZENOS, LÍQUIDOS</v>
          </cell>
          <cell r="C722">
            <v>333</v>
          </cell>
          <cell r="D722" t="str">
            <v>100 ml</v>
          </cell>
        </row>
        <row r="723">
          <cell r="A723">
            <v>1598</v>
          </cell>
          <cell r="B723" t="str">
            <v>DINITRO-o-CRESOL</v>
          </cell>
          <cell r="C723">
            <v>333</v>
          </cell>
          <cell r="D723" t="str">
            <v>500 g</v>
          </cell>
        </row>
        <row r="724">
          <cell r="A724">
            <v>1599</v>
          </cell>
          <cell r="B724" t="str">
            <v>DINITROFENOL SOLUÇÃO</v>
          </cell>
          <cell r="C724">
            <v>333</v>
          </cell>
          <cell r="D724" t="str">
            <v>100 ml</v>
          </cell>
        </row>
        <row r="725">
          <cell r="A725">
            <v>1600</v>
          </cell>
          <cell r="B725" t="str">
            <v>DINITROTOLUENOS, FUNDIDOS</v>
          </cell>
          <cell r="C725" t="str">
            <v>ZERO</v>
          </cell>
          <cell r="D725" t="str">
            <v>ZERO</v>
          </cell>
        </row>
        <row r="726">
          <cell r="A726">
            <v>1601</v>
          </cell>
          <cell r="B726" t="str">
            <v>DESINFETANTE, TÓXICO, SÓLIDO, N.E.</v>
          </cell>
          <cell r="C726">
            <v>20</v>
          </cell>
          <cell r="D726" t="str">
            <v>5 kg</v>
          </cell>
        </row>
        <row r="727">
          <cell r="A727">
            <v>1602</v>
          </cell>
          <cell r="B727" t="str">
            <v>CORANTE, TÓXICO, LÍQUIDO, N.E. ou INTERMEDIÁRIO PARA CORANTES, TÓXICO, LÍQUIDO, N.E.</v>
          </cell>
          <cell r="C727">
            <v>20</v>
          </cell>
          <cell r="D727" t="str">
            <v>100 ml</v>
          </cell>
        </row>
        <row r="728">
          <cell r="A728">
            <v>1603</v>
          </cell>
          <cell r="B728" t="str">
            <v>ACETATO DE BROMOETILA</v>
          </cell>
          <cell r="C728">
            <v>333</v>
          </cell>
          <cell r="D728" t="str">
            <v>100 ml</v>
          </cell>
        </row>
        <row r="729">
          <cell r="A729">
            <v>1604</v>
          </cell>
          <cell r="B729" t="str">
            <v>ETILENODIAMINA</v>
          </cell>
          <cell r="C729">
            <v>333</v>
          </cell>
          <cell r="D729" t="str">
            <v>1 L</v>
          </cell>
        </row>
        <row r="730">
          <cell r="A730">
            <v>1605</v>
          </cell>
          <cell r="B730" t="str">
            <v>DIBROMETO DE ETILENO</v>
          </cell>
          <cell r="C730">
            <v>20</v>
          </cell>
          <cell r="D730" t="str">
            <v>ZERO</v>
          </cell>
        </row>
        <row r="731">
          <cell r="A731">
            <v>1606</v>
          </cell>
          <cell r="B731" t="str">
            <v>ARSENIATO FÉRRICO</v>
          </cell>
          <cell r="C731">
            <v>333</v>
          </cell>
          <cell r="D731" t="str">
            <v>500 g</v>
          </cell>
        </row>
        <row r="732">
          <cell r="A732">
            <v>1607</v>
          </cell>
          <cell r="B732" t="str">
            <v>ARSENITO FÉRRICO</v>
          </cell>
          <cell r="C732">
            <v>333</v>
          </cell>
          <cell r="D732" t="str">
            <v>500 g</v>
          </cell>
        </row>
        <row r="733">
          <cell r="A733">
            <v>1608</v>
          </cell>
          <cell r="B733" t="str">
            <v>ARSENIATO FERROSO</v>
          </cell>
          <cell r="C733">
            <v>333</v>
          </cell>
          <cell r="D733" t="str">
            <v>500 g</v>
          </cell>
        </row>
        <row r="734">
          <cell r="A734">
            <v>1611</v>
          </cell>
          <cell r="B734" t="str">
            <v>TETRAFOSFATO DE HEXAETILA</v>
          </cell>
          <cell r="C734">
            <v>333</v>
          </cell>
          <cell r="D734" t="str">
            <v>100 ml</v>
          </cell>
        </row>
        <row r="735">
          <cell r="A735">
            <v>1612</v>
          </cell>
          <cell r="B735" t="str">
            <v>MISTURA DE TETRAFOSFATO DE HEXAETILA E GÁS COMPRIMIDO</v>
          </cell>
          <cell r="C735">
            <v>20</v>
          </cell>
          <cell r="D735" t="str">
            <v>ZERO</v>
          </cell>
        </row>
        <row r="736">
          <cell r="A736">
            <v>1613</v>
          </cell>
          <cell r="B736" t="str">
            <v>ÁCIDO  CIANÍDRICO,  SOLUÇÃO  AQUOSA,  (CIANETO  DE  HIDROGÊNIO,  SOLUÇÃO  AQUOSA)  com  até  20%  de</v>
          </cell>
        </row>
        <row r="737">
          <cell r="A737">
            <v>1614</v>
          </cell>
          <cell r="B737" t="str">
            <v>CIANETO DE HIDROGÊNIO, ESTABILIZADO, contendo menos de 3% de água e absorvido em material inerte e poroso.</v>
          </cell>
          <cell r="C737" t="str">
            <v>ZERO</v>
          </cell>
          <cell r="D737" t="str">
            <v>ZERO</v>
          </cell>
        </row>
        <row r="738">
          <cell r="A738">
            <v>1616</v>
          </cell>
          <cell r="B738" t="str">
            <v>ACETATO DE CHUMBO</v>
          </cell>
          <cell r="C738">
            <v>333</v>
          </cell>
          <cell r="D738" t="str">
            <v>5 kg</v>
          </cell>
        </row>
        <row r="739">
          <cell r="A739">
            <v>1617</v>
          </cell>
          <cell r="B739" t="str">
            <v>ARSENIATO(S) DE CHUMBO</v>
          </cell>
          <cell r="C739">
            <v>333</v>
          </cell>
          <cell r="D739" t="str">
            <v>500 g</v>
          </cell>
        </row>
        <row r="740">
          <cell r="A740">
            <v>1618</v>
          </cell>
          <cell r="B740" t="str">
            <v>ARSENITO(S) DE CHUMBO</v>
          </cell>
          <cell r="C740">
            <v>333</v>
          </cell>
          <cell r="D740" t="str">
            <v>500 g</v>
          </cell>
        </row>
        <row r="741">
          <cell r="A741">
            <v>1620</v>
          </cell>
          <cell r="B741" t="str">
            <v>CIANETO DE CHUMBO</v>
          </cell>
          <cell r="C741">
            <v>333</v>
          </cell>
          <cell r="D741" t="str">
            <v>500 g</v>
          </cell>
        </row>
        <row r="742">
          <cell r="A742">
            <v>1621</v>
          </cell>
          <cell r="B742" t="str">
            <v>PÚRPURA DE LONDRES</v>
          </cell>
          <cell r="C742">
            <v>333</v>
          </cell>
          <cell r="D742" t="str">
            <v>500 g</v>
          </cell>
        </row>
        <row r="743">
          <cell r="A743">
            <v>1622</v>
          </cell>
          <cell r="B743" t="str">
            <v>ARSENIATO DE MAGNÉSIO</v>
          </cell>
          <cell r="C743">
            <v>333</v>
          </cell>
          <cell r="D743" t="str">
            <v>500 g</v>
          </cell>
        </row>
        <row r="744">
          <cell r="A744">
            <v>1623</v>
          </cell>
          <cell r="B744" t="str">
            <v>ARSENIATO MERCÚRICO</v>
          </cell>
          <cell r="C744">
            <v>333</v>
          </cell>
          <cell r="D744" t="str">
            <v>500 g</v>
          </cell>
        </row>
        <row r="745">
          <cell r="A745">
            <v>1624</v>
          </cell>
          <cell r="B745" t="str">
            <v>CLORETO MERCÚRICO</v>
          </cell>
          <cell r="C745">
            <v>333</v>
          </cell>
          <cell r="D745" t="str">
            <v>500 g</v>
          </cell>
        </row>
        <row r="746">
          <cell r="A746">
            <v>1625</v>
          </cell>
          <cell r="B746" t="str">
            <v>NITRATO MERCÚRICO</v>
          </cell>
          <cell r="C746">
            <v>333</v>
          </cell>
          <cell r="D746" t="str">
            <v>500 g</v>
          </cell>
        </row>
        <row r="747">
          <cell r="A747">
            <v>1626</v>
          </cell>
          <cell r="B747" t="str">
            <v>CIANETO DUPLO DE MERCÚRIO E POTÁSIO</v>
          </cell>
          <cell r="C747">
            <v>20</v>
          </cell>
          <cell r="D747" t="str">
            <v>ZERO</v>
          </cell>
        </row>
        <row r="748">
          <cell r="A748">
            <v>1627</v>
          </cell>
          <cell r="B748" t="str">
            <v>NITRATO MERCUROSO</v>
          </cell>
          <cell r="C748">
            <v>333</v>
          </cell>
          <cell r="D748" t="str">
            <v>500 g</v>
          </cell>
        </row>
        <row r="749">
          <cell r="A749">
            <v>1629</v>
          </cell>
          <cell r="B749" t="str">
            <v>ACETATO DE MERCÚRIO</v>
          </cell>
          <cell r="C749">
            <v>333</v>
          </cell>
          <cell r="D749" t="str">
            <v>500 g</v>
          </cell>
        </row>
        <row r="750">
          <cell r="A750">
            <v>1630</v>
          </cell>
          <cell r="B750" t="str">
            <v>CLORETO DUPLO DE MERCÚRIO E AMÔNIO</v>
          </cell>
          <cell r="C750">
            <v>333</v>
          </cell>
          <cell r="D750" t="str">
            <v>500 g</v>
          </cell>
        </row>
        <row r="751">
          <cell r="A751">
            <v>1631</v>
          </cell>
          <cell r="B751" t="str">
            <v>BENZOATO DE MERCÚRIO</v>
          </cell>
          <cell r="C751">
            <v>333</v>
          </cell>
          <cell r="D751" t="str">
            <v>500 g</v>
          </cell>
        </row>
        <row r="752">
          <cell r="A752">
            <v>1634</v>
          </cell>
          <cell r="B752" t="str">
            <v>BROMETO(S) DE MERCÚRIO</v>
          </cell>
          <cell r="C752">
            <v>333</v>
          </cell>
          <cell r="D752" t="str">
            <v>500 g</v>
          </cell>
        </row>
        <row r="753">
          <cell r="A753">
            <v>1636</v>
          </cell>
          <cell r="B753" t="str">
            <v>CIANETO DE MERCÚRIO</v>
          </cell>
          <cell r="C753">
            <v>333</v>
          </cell>
          <cell r="D753" t="str">
            <v>500 g</v>
          </cell>
        </row>
        <row r="754">
          <cell r="A754">
            <v>1637</v>
          </cell>
          <cell r="B754" t="str">
            <v>GLUCONATO DE MERCÚRIO</v>
          </cell>
          <cell r="C754">
            <v>333</v>
          </cell>
          <cell r="D754" t="str">
            <v>500 g</v>
          </cell>
        </row>
        <row r="755">
          <cell r="A755">
            <v>1638</v>
          </cell>
          <cell r="B755" t="str">
            <v>IODETO DE MERCÚRIO</v>
          </cell>
          <cell r="C755">
            <v>333</v>
          </cell>
          <cell r="D755" t="str">
            <v>500 g</v>
          </cell>
        </row>
        <row r="756">
          <cell r="A756">
            <v>1639</v>
          </cell>
          <cell r="B756" t="str">
            <v>NUCLEATO DE MERCÚRIO</v>
          </cell>
          <cell r="C756">
            <v>333</v>
          </cell>
          <cell r="D756" t="str">
            <v>500 g</v>
          </cell>
        </row>
        <row r="757">
          <cell r="A757">
            <v>1640</v>
          </cell>
          <cell r="B757" t="str">
            <v>OLEATO DE MERCÚRIO</v>
          </cell>
          <cell r="C757">
            <v>333</v>
          </cell>
          <cell r="D757" t="str">
            <v>500 g</v>
          </cell>
        </row>
        <row r="758">
          <cell r="A758">
            <v>1641</v>
          </cell>
          <cell r="B758" t="str">
            <v>ÓXIDO DE MERCÚRIO</v>
          </cell>
          <cell r="C758">
            <v>333</v>
          </cell>
          <cell r="D758" t="str">
            <v>500 g</v>
          </cell>
        </row>
        <row r="759">
          <cell r="A759">
            <v>1642</v>
          </cell>
          <cell r="B759" t="str">
            <v>OXICIANETO DE MERCÚRIO, INSENSIBILIZADO</v>
          </cell>
          <cell r="C759">
            <v>333</v>
          </cell>
          <cell r="D759" t="str">
            <v>500 g</v>
          </cell>
        </row>
        <row r="760">
          <cell r="A760">
            <v>1643</v>
          </cell>
          <cell r="B760" t="str">
            <v>IODETO DE MERCÚRIO E POTÁSSIO</v>
          </cell>
          <cell r="C760">
            <v>333</v>
          </cell>
          <cell r="D760" t="str">
            <v>500 g</v>
          </cell>
        </row>
        <row r="761">
          <cell r="A761">
            <v>1644</v>
          </cell>
          <cell r="B761" t="str">
            <v>SALICILATO DE MERCÚRIO</v>
          </cell>
          <cell r="C761">
            <v>333</v>
          </cell>
          <cell r="D761" t="str">
            <v>500 g</v>
          </cell>
        </row>
        <row r="762">
          <cell r="A762">
            <v>1645</v>
          </cell>
          <cell r="B762" t="str">
            <v>SULFATO DE MERCÚRIO</v>
          </cell>
          <cell r="C762">
            <v>333</v>
          </cell>
          <cell r="D762" t="str">
            <v>500 g</v>
          </cell>
        </row>
        <row r="763">
          <cell r="A763">
            <v>1646</v>
          </cell>
          <cell r="B763" t="str">
            <v>TIOCIANATO DE MERCÚRIO</v>
          </cell>
          <cell r="C763">
            <v>333</v>
          </cell>
          <cell r="D763" t="str">
            <v>500 g</v>
          </cell>
        </row>
        <row r="764">
          <cell r="A764">
            <v>1647</v>
          </cell>
          <cell r="B764" t="str">
            <v>MISTURA DE BROMETO DE METILA E DIBROMETO DE ETILENO, LÍQUIDA</v>
          </cell>
          <cell r="C764">
            <v>20</v>
          </cell>
          <cell r="D764" t="str">
            <v>ZERO</v>
          </cell>
        </row>
        <row r="765">
          <cell r="A765">
            <v>1648</v>
          </cell>
          <cell r="B765" t="str">
            <v>ACETONITRILA</v>
          </cell>
          <cell r="C765">
            <v>333</v>
          </cell>
          <cell r="D765" t="str">
            <v>1 L</v>
          </cell>
        </row>
        <row r="766">
          <cell r="A766">
            <v>1649</v>
          </cell>
          <cell r="B766" t="str">
            <v>MISTURA ANTIDETONANTE PARA COMBUSTÍVEL PARA MOTOR</v>
          </cell>
          <cell r="C766">
            <v>20</v>
          </cell>
          <cell r="D766" t="str">
            <v>ZERO</v>
          </cell>
        </row>
        <row r="767">
          <cell r="A767">
            <v>1650</v>
          </cell>
          <cell r="B767" t="str">
            <v>beta-NAFTILAMINA, SÓLIDA</v>
          </cell>
          <cell r="C767">
            <v>333</v>
          </cell>
          <cell r="D767" t="str">
            <v>500 g</v>
          </cell>
        </row>
        <row r="768">
          <cell r="A768">
            <v>1651</v>
          </cell>
          <cell r="B768" t="str">
            <v>NAFTILTIOURÉIA</v>
          </cell>
          <cell r="C768">
            <v>333</v>
          </cell>
          <cell r="D768" t="str">
            <v>500 g</v>
          </cell>
        </row>
        <row r="769">
          <cell r="A769">
            <v>1652</v>
          </cell>
          <cell r="B769" t="str">
            <v>NAFTILURÉIA</v>
          </cell>
          <cell r="C769">
            <v>333</v>
          </cell>
          <cell r="D769" t="str">
            <v>500 g</v>
          </cell>
        </row>
        <row r="770">
          <cell r="A770">
            <v>1653</v>
          </cell>
          <cell r="B770" t="str">
            <v>CIANETO DE NÍQUEL</v>
          </cell>
          <cell r="C770">
            <v>333</v>
          </cell>
          <cell r="D770" t="str">
            <v>500 g</v>
          </cell>
        </row>
        <row r="771">
          <cell r="A771">
            <v>1654</v>
          </cell>
          <cell r="B771" t="str">
            <v>NICOTINA</v>
          </cell>
          <cell r="C771">
            <v>333</v>
          </cell>
          <cell r="D771" t="str">
            <v>100 ml</v>
          </cell>
        </row>
        <row r="772">
          <cell r="A772">
            <v>1655</v>
          </cell>
          <cell r="B772" t="str">
            <v>NICOTINA COMPOSTO, SÓLIDO, N.E. ou NICOTINA PREPARAÇÃO, SÓLIDA, N.E.</v>
          </cell>
          <cell r="C772">
            <v>20</v>
          </cell>
          <cell r="D772" t="str">
            <v>5 kg</v>
          </cell>
        </row>
        <row r="773">
          <cell r="A773">
            <v>1656</v>
          </cell>
          <cell r="B773" t="str">
            <v>CLORIDRATO DE NICOTINA, LÍQUIDO OU SOLUÇÃO</v>
          </cell>
          <cell r="C773">
            <v>333</v>
          </cell>
          <cell r="D773" t="str">
            <v>100 ml</v>
          </cell>
        </row>
        <row r="774">
          <cell r="A774">
            <v>1657</v>
          </cell>
          <cell r="B774" t="str">
            <v>SALICILATO DE NICOTINA</v>
          </cell>
          <cell r="C774">
            <v>333</v>
          </cell>
          <cell r="D774" t="str">
            <v>500 g</v>
          </cell>
        </row>
        <row r="775">
          <cell r="A775">
            <v>1658</v>
          </cell>
          <cell r="B775" t="str">
            <v>SULFATO DE NICOTINA, SOLUÇÃO</v>
          </cell>
          <cell r="C775">
            <v>333</v>
          </cell>
          <cell r="D775" t="str">
            <v>100 ml</v>
          </cell>
        </row>
        <row r="776">
          <cell r="A776">
            <v>1659</v>
          </cell>
          <cell r="B776" t="str">
            <v>TARTARATO DE NICOTINA</v>
          </cell>
          <cell r="C776">
            <v>333</v>
          </cell>
          <cell r="D776" t="str">
            <v>500 g</v>
          </cell>
        </row>
        <row r="777">
          <cell r="A777">
            <v>1660</v>
          </cell>
          <cell r="B777" t="str">
            <v>ÓXIDO NÍTRICO, COMPRIMIDO</v>
          </cell>
          <cell r="C777">
            <v>20</v>
          </cell>
          <cell r="D777" t="str">
            <v>ZERO</v>
          </cell>
        </row>
        <row r="778">
          <cell r="A778">
            <v>1661</v>
          </cell>
          <cell r="B778" t="str">
            <v>NITROANILINAS (o-,m-,p-)</v>
          </cell>
          <cell r="C778">
            <v>333</v>
          </cell>
          <cell r="D778" t="str">
            <v>500 g</v>
          </cell>
        </row>
        <row r="779">
          <cell r="A779">
            <v>1662</v>
          </cell>
          <cell r="B779" t="str">
            <v>NITROBENZENO</v>
          </cell>
          <cell r="C779">
            <v>333</v>
          </cell>
          <cell r="D779" t="str">
            <v>100 ml</v>
          </cell>
        </row>
        <row r="780">
          <cell r="A780">
            <v>1663</v>
          </cell>
          <cell r="B780" t="str">
            <v>NITROFENÓIS (o-,m-,p-)</v>
          </cell>
          <cell r="C780">
            <v>333</v>
          </cell>
          <cell r="D780" t="str">
            <v>5 kg</v>
          </cell>
        </row>
        <row r="781">
          <cell r="A781">
            <v>1664</v>
          </cell>
          <cell r="B781" t="str">
            <v>NITROTOLUENOS, LÍQUIDOS</v>
          </cell>
          <cell r="C781">
            <v>333</v>
          </cell>
          <cell r="D781" t="str">
            <v>100 ml</v>
          </cell>
        </row>
        <row r="782">
          <cell r="A782">
            <v>1665</v>
          </cell>
          <cell r="B782" t="str">
            <v>NITROXILENOS, LÍQUIDOS</v>
          </cell>
          <cell r="C782">
            <v>333</v>
          </cell>
          <cell r="D782" t="str">
            <v>100 ml</v>
          </cell>
        </row>
        <row r="783">
          <cell r="A783">
            <v>1669</v>
          </cell>
          <cell r="B783" t="str">
            <v>PENTACLOROETANO</v>
          </cell>
          <cell r="C783">
            <v>333</v>
          </cell>
          <cell r="D783" t="str">
            <v>100 ml</v>
          </cell>
        </row>
        <row r="784">
          <cell r="A784">
            <v>1670</v>
          </cell>
          <cell r="B784" t="str">
            <v>PERCLOROMETILMERCAPTANA</v>
          </cell>
          <cell r="C784">
            <v>20</v>
          </cell>
          <cell r="D784" t="str">
            <v>ZERO</v>
          </cell>
        </row>
        <row r="785">
          <cell r="A785">
            <v>1671</v>
          </cell>
          <cell r="B785" t="str">
            <v>FENOL, SÓLIDO</v>
          </cell>
          <cell r="C785">
            <v>333</v>
          </cell>
          <cell r="D785" t="str">
            <v>500 g</v>
          </cell>
        </row>
        <row r="786">
          <cell r="A786">
            <v>1672</v>
          </cell>
          <cell r="B786" t="str">
            <v>CLORETO DE FENILCARBILAMINA</v>
          </cell>
          <cell r="C786">
            <v>20</v>
          </cell>
          <cell r="D786" t="str">
            <v>ZERO</v>
          </cell>
        </row>
        <row r="787">
          <cell r="A787">
            <v>1673</v>
          </cell>
          <cell r="B787" t="str">
            <v>FENILENODIAMINAS (o-,m-,p-)</v>
          </cell>
          <cell r="C787">
            <v>333</v>
          </cell>
          <cell r="D787" t="str">
            <v>5 kg</v>
          </cell>
        </row>
        <row r="788">
          <cell r="A788">
            <v>1674</v>
          </cell>
          <cell r="B788" t="str">
            <v>ACETATO DE FENILMERCÚRICO</v>
          </cell>
          <cell r="C788">
            <v>333</v>
          </cell>
          <cell r="D788" t="str">
            <v>500 g</v>
          </cell>
        </row>
        <row r="789">
          <cell r="A789">
            <v>1677</v>
          </cell>
          <cell r="B789" t="str">
            <v>ARSENIATO DE POTÁSSIO</v>
          </cell>
          <cell r="C789">
            <v>333</v>
          </cell>
          <cell r="D789" t="str">
            <v>500 g</v>
          </cell>
        </row>
        <row r="790">
          <cell r="A790">
            <v>1678</v>
          </cell>
          <cell r="B790" t="str">
            <v>ARSENITO DE POTÁSSIO</v>
          </cell>
          <cell r="C790">
            <v>333</v>
          </cell>
          <cell r="D790" t="str">
            <v>500 g</v>
          </cell>
        </row>
        <row r="791">
          <cell r="A791">
            <v>1679</v>
          </cell>
          <cell r="B791" t="str">
            <v>CUPROCIANETO DE POTÁSSIO</v>
          </cell>
          <cell r="C791">
            <v>333</v>
          </cell>
          <cell r="D791" t="str">
            <v>500 g</v>
          </cell>
        </row>
        <row r="792">
          <cell r="A792">
            <v>1680</v>
          </cell>
          <cell r="B792" t="str">
            <v>CIANETO DE POTÁSSIO, SÓLIDO</v>
          </cell>
          <cell r="C792">
            <v>20</v>
          </cell>
          <cell r="D792" t="str">
            <v>ZERO</v>
          </cell>
        </row>
        <row r="793">
          <cell r="A793">
            <v>1683</v>
          </cell>
          <cell r="B793" t="str">
            <v>ARSENITO DE PRATA</v>
          </cell>
          <cell r="C793">
            <v>333</v>
          </cell>
          <cell r="D793" t="str">
            <v>500 g</v>
          </cell>
        </row>
        <row r="794">
          <cell r="A794">
            <v>1684</v>
          </cell>
          <cell r="B794" t="str">
            <v>CIANETO DE PRATA</v>
          </cell>
          <cell r="C794">
            <v>333</v>
          </cell>
          <cell r="D794" t="str">
            <v>500 g</v>
          </cell>
        </row>
        <row r="795">
          <cell r="A795">
            <v>1685</v>
          </cell>
          <cell r="B795" t="str">
            <v>ARSENIATO DE SÓDIO</v>
          </cell>
          <cell r="C795">
            <v>333</v>
          </cell>
          <cell r="D795" t="str">
            <v>500 g</v>
          </cell>
        </row>
        <row r="796">
          <cell r="A796">
            <v>1686</v>
          </cell>
          <cell r="B796" t="str">
            <v>ARSENITO DE SÓDIO, SOLUÇÃO AQUOSA</v>
          </cell>
          <cell r="C796">
            <v>333</v>
          </cell>
          <cell r="D796" t="str">
            <v>100 ml</v>
          </cell>
        </row>
        <row r="797">
          <cell r="A797">
            <v>1687</v>
          </cell>
          <cell r="B797" t="str">
            <v>AZIDA DE SÓDIO</v>
          </cell>
          <cell r="C797">
            <v>333</v>
          </cell>
          <cell r="D797" t="str">
            <v>500 g</v>
          </cell>
        </row>
        <row r="798">
          <cell r="A798">
            <v>1688</v>
          </cell>
          <cell r="B798" t="str">
            <v>CACODILATO DE SÓDIO</v>
          </cell>
          <cell r="C798">
            <v>333</v>
          </cell>
          <cell r="D798" t="str">
            <v>500 g</v>
          </cell>
        </row>
        <row r="799">
          <cell r="A799">
            <v>1689</v>
          </cell>
          <cell r="B799" t="str">
            <v>CIANETO DE SÓDIO, SÓLIDO</v>
          </cell>
          <cell r="C799">
            <v>20</v>
          </cell>
          <cell r="D799" t="str">
            <v>ZERO</v>
          </cell>
        </row>
        <row r="800">
          <cell r="A800">
            <v>1690</v>
          </cell>
          <cell r="B800" t="str">
            <v>FLUORETO DE SÓDIO, SÓLIDO</v>
          </cell>
          <cell r="C800">
            <v>333</v>
          </cell>
          <cell r="D800" t="str">
            <v>5 kg</v>
          </cell>
        </row>
        <row r="801">
          <cell r="A801">
            <v>1691</v>
          </cell>
          <cell r="B801" t="str">
            <v>ARSENITO DE ESTRÔNCIO</v>
          </cell>
          <cell r="C801">
            <v>333</v>
          </cell>
          <cell r="D801" t="str">
            <v>500 g</v>
          </cell>
        </row>
        <row r="802">
          <cell r="A802">
            <v>1692</v>
          </cell>
          <cell r="B802" t="str">
            <v>ESTRICNINA ou SAIS DE ESTRICNINA</v>
          </cell>
          <cell r="C802">
            <v>20</v>
          </cell>
          <cell r="D802" t="str">
            <v>ZERO</v>
          </cell>
        </row>
        <row r="803">
          <cell r="A803">
            <v>1693</v>
          </cell>
          <cell r="B803" t="str">
            <v>SUBSTÂNCIA PARA PRODUÇÃO DE GÁS LACRIMOGÊNEO, LÍQUIDA, N.E.</v>
          </cell>
          <cell r="C803">
            <v>20</v>
          </cell>
          <cell r="D803" t="str">
            <v>ZERO</v>
          </cell>
        </row>
        <row r="804">
          <cell r="A804">
            <v>1694</v>
          </cell>
          <cell r="B804" t="str">
            <v>CIANETO(S) DE BROMOBENZILA, LÍQUIDOS</v>
          </cell>
          <cell r="C804">
            <v>20</v>
          </cell>
          <cell r="D804" t="str">
            <v>ZERO</v>
          </cell>
        </row>
        <row r="805">
          <cell r="A805">
            <v>1695</v>
          </cell>
          <cell r="B805" t="str">
            <v>CLOROACETONA, ESTABILIZADA</v>
          </cell>
          <cell r="C805">
            <v>20</v>
          </cell>
          <cell r="D805" t="str">
            <v>ZERO</v>
          </cell>
        </row>
        <row r="806">
          <cell r="A806">
            <v>1697</v>
          </cell>
          <cell r="B806" t="str">
            <v>CLOROACETOFENONA, SÓLIDA</v>
          </cell>
          <cell r="C806">
            <v>333</v>
          </cell>
          <cell r="D806" t="str">
            <v>ZERO</v>
          </cell>
        </row>
        <row r="807">
          <cell r="A807">
            <v>1698</v>
          </cell>
          <cell r="B807" t="str">
            <v>DIFENILAMINACLOROARSINA</v>
          </cell>
          <cell r="C807">
            <v>20</v>
          </cell>
          <cell r="D807" t="str">
            <v>ZERO</v>
          </cell>
        </row>
        <row r="808">
          <cell r="A808">
            <v>1699</v>
          </cell>
          <cell r="B808" t="str">
            <v>DIFENILCLOROARSINA, LÍQUIDA</v>
          </cell>
          <cell r="C808">
            <v>20</v>
          </cell>
          <cell r="D808" t="str">
            <v>ZERO</v>
          </cell>
        </row>
        <row r="809">
          <cell r="A809">
            <v>1700</v>
          </cell>
          <cell r="B809" t="str">
            <v>VELAS LACRIMOGÊNEAS</v>
          </cell>
          <cell r="C809">
            <v>333</v>
          </cell>
          <cell r="D809" t="str">
            <v>ZERO</v>
          </cell>
        </row>
        <row r="810">
          <cell r="A810">
            <v>1701</v>
          </cell>
          <cell r="B810" t="str">
            <v>BROMETO DE XILILA, LÍQUIDO</v>
          </cell>
          <cell r="C810">
            <v>333</v>
          </cell>
          <cell r="D810" t="str">
            <v>ZERO</v>
          </cell>
        </row>
        <row r="811">
          <cell r="A811">
            <v>1702</v>
          </cell>
          <cell r="B811" t="str">
            <v>1,1,2,2-TETRACLOROETANO</v>
          </cell>
          <cell r="C811">
            <v>333</v>
          </cell>
          <cell r="D811" t="str">
            <v>100 ml</v>
          </cell>
        </row>
        <row r="812">
          <cell r="A812">
            <v>1704</v>
          </cell>
          <cell r="B812" t="str">
            <v>DITIOPIROFOSFATO DE TETRAETILA</v>
          </cell>
          <cell r="C812">
            <v>333</v>
          </cell>
          <cell r="D812" t="str">
            <v>100 ml</v>
          </cell>
        </row>
        <row r="813">
          <cell r="A813">
            <v>1707</v>
          </cell>
          <cell r="B813" t="str">
            <v>TÁLIO COMPOSTO, N.E.</v>
          </cell>
          <cell r="C813">
            <v>333</v>
          </cell>
          <cell r="D813" t="str">
            <v>500 g</v>
          </cell>
        </row>
        <row r="814">
          <cell r="A814">
            <v>1708</v>
          </cell>
          <cell r="B814" t="str">
            <v>TOLUIDINAS, LÍQUIDAS</v>
          </cell>
          <cell r="C814">
            <v>333</v>
          </cell>
          <cell r="D814" t="str">
            <v>100 ml</v>
          </cell>
        </row>
        <row r="815">
          <cell r="A815">
            <v>1709</v>
          </cell>
          <cell r="B815" t="str">
            <v>2,4-TOLUILENODIAMINA, SÓLIDA</v>
          </cell>
          <cell r="C815">
            <v>333</v>
          </cell>
          <cell r="D815" t="str">
            <v>5 kg</v>
          </cell>
        </row>
        <row r="816">
          <cell r="A816">
            <v>1710</v>
          </cell>
          <cell r="B816" t="str">
            <v>TRICLOROETILENO</v>
          </cell>
          <cell r="C816">
            <v>333</v>
          </cell>
          <cell r="D816" t="str">
            <v>5 L</v>
          </cell>
        </row>
        <row r="817">
          <cell r="A817">
            <v>1711</v>
          </cell>
          <cell r="B817" t="str">
            <v>XILIDINAS, LÍQUIDAS</v>
          </cell>
          <cell r="C817">
            <v>333</v>
          </cell>
          <cell r="D817" t="str">
            <v>100 ml</v>
          </cell>
        </row>
        <row r="818">
          <cell r="A818">
            <v>1712</v>
          </cell>
          <cell r="B818" t="str">
            <v>ARSENIATO DE ZINCO, ARSENITO DE ZINCO, ou MISTURA DE ARSENIATO DE ZINCO E ARSENITO DE ZINCO</v>
          </cell>
          <cell r="C818">
            <v>333</v>
          </cell>
          <cell r="D818" t="str">
            <v>500 g</v>
          </cell>
        </row>
        <row r="819">
          <cell r="A819">
            <v>1713</v>
          </cell>
          <cell r="B819" t="str">
            <v>CIANETO DE ZINCO</v>
          </cell>
          <cell r="C819">
            <v>20</v>
          </cell>
          <cell r="D819" t="str">
            <v>ZERO</v>
          </cell>
        </row>
        <row r="820">
          <cell r="A820">
            <v>1714</v>
          </cell>
          <cell r="B820" t="str">
            <v>FOSFETO DE ZINCO</v>
          </cell>
          <cell r="C820">
            <v>20</v>
          </cell>
          <cell r="D820" t="str">
            <v>ZERO</v>
          </cell>
        </row>
        <row r="821">
          <cell r="A821">
            <v>1715</v>
          </cell>
          <cell r="B821" t="str">
            <v>ANIDRIDO ACÉTICO</v>
          </cell>
          <cell r="C821">
            <v>333</v>
          </cell>
          <cell r="D821" t="str">
            <v>1 L</v>
          </cell>
        </row>
        <row r="822">
          <cell r="A822">
            <v>1716</v>
          </cell>
          <cell r="B822" t="str">
            <v>BROMETO DE ACETILA</v>
          </cell>
          <cell r="C822">
            <v>333</v>
          </cell>
          <cell r="D822" t="str">
            <v>1 L</v>
          </cell>
        </row>
        <row r="823">
          <cell r="A823">
            <v>1717</v>
          </cell>
          <cell r="B823" t="str">
            <v>CLORETO DE ACETILA</v>
          </cell>
          <cell r="C823">
            <v>333</v>
          </cell>
          <cell r="D823" t="str">
            <v>1 L</v>
          </cell>
        </row>
        <row r="824">
          <cell r="A824">
            <v>1718</v>
          </cell>
          <cell r="B824" t="str">
            <v>FOSFATO ÁCIDO DE BUTILA</v>
          </cell>
          <cell r="C824">
            <v>1000</v>
          </cell>
          <cell r="D824" t="str">
            <v>5 L</v>
          </cell>
        </row>
        <row r="825">
          <cell r="A825">
            <v>1719</v>
          </cell>
          <cell r="B825" t="str">
            <v>LÍQUIDO ALCALINO CÁUSTICO, N.E.</v>
          </cell>
          <cell r="C825">
            <v>333</v>
          </cell>
          <cell r="D825" t="str">
            <v>1 L</v>
          </cell>
        </row>
        <row r="826">
          <cell r="A826">
            <v>1722</v>
          </cell>
          <cell r="B826" t="str">
            <v>CLOROFORMIATO DE ALILA</v>
          </cell>
          <cell r="C826">
            <v>20</v>
          </cell>
          <cell r="D826" t="str">
            <v>ZERO</v>
          </cell>
        </row>
        <row r="827">
          <cell r="A827">
            <v>1723</v>
          </cell>
          <cell r="B827" t="str">
            <v>IODETO DE ALILA</v>
          </cell>
          <cell r="C827">
            <v>333</v>
          </cell>
          <cell r="D827" t="str">
            <v>1 L</v>
          </cell>
        </row>
        <row r="828">
          <cell r="A828">
            <v>1724</v>
          </cell>
          <cell r="B828" t="str">
            <v>ALILTRICLOROSSILANO, ESTABILIZADO</v>
          </cell>
          <cell r="C828">
            <v>333</v>
          </cell>
          <cell r="D828" t="str">
            <v>ZERO</v>
          </cell>
        </row>
        <row r="829">
          <cell r="A829">
            <v>1725</v>
          </cell>
          <cell r="B829" t="str">
            <v>BROMETO DE ALUMÍNIO, ANIDRO</v>
          </cell>
          <cell r="C829">
            <v>333</v>
          </cell>
          <cell r="D829" t="str">
            <v>1 kg</v>
          </cell>
        </row>
        <row r="830">
          <cell r="A830">
            <v>1726</v>
          </cell>
          <cell r="B830" t="str">
            <v>CLORETO DE ALUMÍNIO, ANIDRO</v>
          </cell>
          <cell r="C830">
            <v>333</v>
          </cell>
          <cell r="D830" t="str">
            <v>1 kg</v>
          </cell>
        </row>
        <row r="831">
          <cell r="A831">
            <v>1727</v>
          </cell>
          <cell r="B831" t="str">
            <v>HIDROGENODIFLUORETO DE AMÔNIO, SÓLIDO</v>
          </cell>
          <cell r="C831">
            <v>333</v>
          </cell>
          <cell r="D831" t="str">
            <v>1 kg</v>
          </cell>
        </row>
        <row r="832">
          <cell r="A832">
            <v>1728</v>
          </cell>
          <cell r="B832" t="str">
            <v>AMILTRICLOROSSILANO</v>
          </cell>
          <cell r="C832">
            <v>333</v>
          </cell>
          <cell r="D832" t="str">
            <v>ZERO</v>
          </cell>
        </row>
        <row r="833">
          <cell r="A833">
            <v>1729</v>
          </cell>
          <cell r="B833" t="str">
            <v>CLORETO DE ANISOÍLA</v>
          </cell>
          <cell r="C833">
            <v>333</v>
          </cell>
          <cell r="D833" t="str">
            <v>1 kg</v>
          </cell>
        </row>
        <row r="834">
          <cell r="A834">
            <v>1730</v>
          </cell>
          <cell r="B834" t="str">
            <v>PENTACLORETO DE ANTIMÔNIO, LÍQUIDO</v>
          </cell>
          <cell r="C834">
            <v>333</v>
          </cell>
          <cell r="D834" t="str">
            <v>1 L</v>
          </cell>
        </row>
        <row r="835">
          <cell r="A835">
            <v>1731</v>
          </cell>
          <cell r="B835" t="str">
            <v>PENTACLORETO DE ANTIMÔNIO, SOLUÇÃO</v>
          </cell>
          <cell r="C835">
            <v>333</v>
          </cell>
          <cell r="D835" t="str">
            <v>1 L</v>
          </cell>
        </row>
        <row r="836">
          <cell r="A836">
            <v>1732</v>
          </cell>
          <cell r="B836" t="str">
            <v>PENTAFLUORETO DE ANTIMÔNIO</v>
          </cell>
          <cell r="C836">
            <v>333</v>
          </cell>
          <cell r="D836" t="str">
            <v>1 L</v>
          </cell>
        </row>
        <row r="837">
          <cell r="A837">
            <v>1733</v>
          </cell>
          <cell r="B837" t="str">
            <v>TRICLORETO DE ANTIMÔNIO</v>
          </cell>
          <cell r="C837">
            <v>333</v>
          </cell>
          <cell r="D837" t="str">
            <v>1 kg</v>
          </cell>
        </row>
        <row r="838">
          <cell r="A838">
            <v>1736</v>
          </cell>
          <cell r="B838" t="str">
            <v>CLORETO DE BENZOÍLA</v>
          </cell>
          <cell r="C838">
            <v>333</v>
          </cell>
          <cell r="D838" t="str">
            <v>1 L</v>
          </cell>
        </row>
        <row r="839">
          <cell r="A839">
            <v>1737</v>
          </cell>
          <cell r="B839" t="str">
            <v>BROMETO DE BENZILA</v>
          </cell>
          <cell r="C839">
            <v>333</v>
          </cell>
          <cell r="D839" t="str">
            <v>ZERO</v>
          </cell>
        </row>
        <row r="840">
          <cell r="A840">
            <v>1738</v>
          </cell>
          <cell r="B840" t="str">
            <v>CLORETO DE BENZILA</v>
          </cell>
          <cell r="C840">
            <v>333</v>
          </cell>
          <cell r="D840" t="str">
            <v>ZERO</v>
          </cell>
        </row>
        <row r="841">
          <cell r="A841">
            <v>1739</v>
          </cell>
          <cell r="B841" t="str">
            <v>CLOROFORMIATO DE BENZILA</v>
          </cell>
          <cell r="C841">
            <v>20</v>
          </cell>
          <cell r="D841" t="str">
            <v>ZERO</v>
          </cell>
        </row>
        <row r="842">
          <cell r="A842">
            <v>1740</v>
          </cell>
          <cell r="B842" t="str">
            <v>HIDROGENODIFLUORETOS, SÓLIDOS, N.E.</v>
          </cell>
          <cell r="C842">
            <v>333</v>
          </cell>
          <cell r="D842" t="str">
            <v>1 kg</v>
          </cell>
        </row>
        <row r="843">
          <cell r="A843">
            <v>1741</v>
          </cell>
          <cell r="B843" t="str">
            <v>TRICLORETO DE BORO</v>
          </cell>
          <cell r="C843">
            <v>20</v>
          </cell>
          <cell r="D843" t="str">
            <v>ZERO</v>
          </cell>
        </row>
        <row r="844">
          <cell r="A844">
            <v>1742</v>
          </cell>
          <cell r="B844" t="str">
            <v>TRIFLUORETO DE BORO E ÁCIDO ACÉTICO, COMPLEXO DE, LÍQUIDO</v>
          </cell>
          <cell r="C844">
            <v>333</v>
          </cell>
          <cell r="D844" t="str">
            <v>1 L</v>
          </cell>
        </row>
        <row r="845">
          <cell r="A845">
            <v>1743</v>
          </cell>
          <cell r="B845" t="str">
            <v>TRIFLUORETO DE BORO E ÁCIDO PROPIÔNICO, COMPLEXO DE, LÍQUIDO</v>
          </cell>
          <cell r="C845">
            <v>333</v>
          </cell>
          <cell r="D845" t="str">
            <v>1 L</v>
          </cell>
        </row>
        <row r="846">
          <cell r="A846">
            <v>1744</v>
          </cell>
          <cell r="B846" t="str">
            <v>BROMO ou SOLUÇÃO DE BROMO</v>
          </cell>
          <cell r="C846">
            <v>20</v>
          </cell>
          <cell r="D846" t="str">
            <v>ZERO</v>
          </cell>
        </row>
        <row r="847">
          <cell r="A847">
            <v>1745</v>
          </cell>
          <cell r="B847" t="str">
            <v>PENTAFLUORETO DE BROMO</v>
          </cell>
          <cell r="C847">
            <v>20</v>
          </cell>
          <cell r="D847" t="str">
            <v>ZERO</v>
          </cell>
        </row>
        <row r="848">
          <cell r="A848">
            <v>1746</v>
          </cell>
          <cell r="B848" t="str">
            <v>TRIFLUORETO DE BROMO</v>
          </cell>
          <cell r="C848">
            <v>20</v>
          </cell>
          <cell r="D848" t="str">
            <v>ZERO</v>
          </cell>
        </row>
        <row r="849">
          <cell r="A849">
            <v>1747</v>
          </cell>
          <cell r="B849" t="str">
            <v>BUTILTRICLOROSSILANO</v>
          </cell>
          <cell r="C849">
            <v>333</v>
          </cell>
          <cell r="D849" t="str">
            <v>ZERO</v>
          </cell>
        </row>
        <row r="850">
          <cell r="A850">
            <v>1748</v>
          </cell>
          <cell r="B850" t="str">
            <v>HIPOCLORITO DE CÁLCIO,  SECO ou  MISTURA DE  HIPOCLORITO DE  CÁLCIO, SECA  com mais  de 39%  de cloro</v>
          </cell>
        </row>
        <row r="851">
          <cell r="A851">
            <v>1749</v>
          </cell>
          <cell r="B851" t="str">
            <v>TRIFLUORETO DE CLORO</v>
          </cell>
          <cell r="C851">
            <v>20</v>
          </cell>
          <cell r="D851" t="str">
            <v>ZERO</v>
          </cell>
        </row>
        <row r="852">
          <cell r="A852">
            <v>1750</v>
          </cell>
          <cell r="B852" t="str">
            <v>ÁCIDO CLORACÉTICO, SOLUÇÃO</v>
          </cell>
          <cell r="C852">
            <v>333</v>
          </cell>
          <cell r="D852" t="str">
            <v>100 ml</v>
          </cell>
        </row>
        <row r="853">
          <cell r="A853">
            <v>1751</v>
          </cell>
          <cell r="B853" t="str">
            <v>ÁCIDO CLORACÉTICO, SÓLIDO</v>
          </cell>
          <cell r="C853">
            <v>333</v>
          </cell>
          <cell r="D853" t="str">
            <v>500 g</v>
          </cell>
        </row>
        <row r="854">
          <cell r="A854">
            <v>1752</v>
          </cell>
          <cell r="B854" t="str">
            <v>CLORETO DE CLOROACETILA</v>
          </cell>
          <cell r="C854">
            <v>20</v>
          </cell>
          <cell r="D854" t="str">
            <v>ZERO</v>
          </cell>
        </row>
        <row r="855">
          <cell r="A855">
            <v>1753</v>
          </cell>
          <cell r="B855" t="str">
            <v>CLOROFENILTRICLOROSSILANO</v>
          </cell>
          <cell r="C855">
            <v>333</v>
          </cell>
          <cell r="D855" t="str">
            <v>ZERO</v>
          </cell>
        </row>
        <row r="856">
          <cell r="A856">
            <v>1754</v>
          </cell>
          <cell r="B856" t="str">
            <v>ÁCIDO CLOROSSULFONICO (com ou sem trióxido de enxofre)</v>
          </cell>
          <cell r="C856">
            <v>20</v>
          </cell>
          <cell r="D856" t="str">
            <v>ZERO</v>
          </cell>
        </row>
        <row r="857">
          <cell r="A857">
            <v>1755</v>
          </cell>
          <cell r="B857" t="str">
            <v>ÁCIDO CRÔMICO, SOLUÇÃO</v>
          </cell>
          <cell r="C857">
            <v>333</v>
          </cell>
          <cell r="D857" t="str">
            <v>1 L</v>
          </cell>
        </row>
        <row r="858">
          <cell r="A858">
            <v>1756</v>
          </cell>
          <cell r="B858" t="str">
            <v>FLUORETO CRÔMICO, SÓLIDO</v>
          </cell>
          <cell r="C858">
            <v>333</v>
          </cell>
          <cell r="D858" t="str">
            <v>1kg</v>
          </cell>
        </row>
        <row r="859">
          <cell r="A859">
            <v>1757</v>
          </cell>
          <cell r="B859" t="str">
            <v>FLUORETO CRÔMICO, SOLUÇÃO</v>
          </cell>
          <cell r="C859">
            <v>333</v>
          </cell>
          <cell r="D859" t="str">
            <v>1 L</v>
          </cell>
        </row>
        <row r="860">
          <cell r="A860">
            <v>1758</v>
          </cell>
          <cell r="B860" t="str">
            <v>OXICLORETO DE CROMO</v>
          </cell>
          <cell r="C860">
            <v>20</v>
          </cell>
          <cell r="D860" t="str">
            <v>ZERO</v>
          </cell>
        </row>
        <row r="861">
          <cell r="A861">
            <v>1759</v>
          </cell>
          <cell r="B861" t="str">
            <v>SÓLIDO CORROSIVO, N.E.</v>
          </cell>
          <cell r="C861">
            <v>20</v>
          </cell>
          <cell r="D861" t="str">
            <v>1kg</v>
          </cell>
        </row>
        <row r="862">
          <cell r="A862">
            <v>1760</v>
          </cell>
          <cell r="B862" t="str">
            <v>LÍQUIDO CORROSIVO, N.E.</v>
          </cell>
          <cell r="C862">
            <v>20</v>
          </cell>
          <cell r="D862" t="str">
            <v>1 L</v>
          </cell>
        </row>
        <row r="863">
          <cell r="A863">
            <v>1761</v>
          </cell>
          <cell r="B863" t="str">
            <v>CUPRIETILENODIAMINA, SOLUÇÃO</v>
          </cell>
          <cell r="C863">
            <v>333</v>
          </cell>
          <cell r="D863" t="str">
            <v>1 L</v>
          </cell>
        </row>
        <row r="864">
          <cell r="A864">
            <v>1762</v>
          </cell>
          <cell r="B864" t="str">
            <v>CICLO-HEXENILTRICLOROSSILANO</v>
          </cell>
          <cell r="C864">
            <v>333</v>
          </cell>
          <cell r="D864" t="str">
            <v>ZERO</v>
          </cell>
        </row>
        <row r="865">
          <cell r="A865">
            <v>1763</v>
          </cell>
          <cell r="B865" t="str">
            <v>CICLO-HEXILTRICLOROSSILANO</v>
          </cell>
          <cell r="C865">
            <v>333</v>
          </cell>
          <cell r="D865" t="str">
            <v>ZERO</v>
          </cell>
        </row>
        <row r="866">
          <cell r="A866">
            <v>1764</v>
          </cell>
          <cell r="B866" t="str">
            <v>ÁCIDO DICLORACÉTICO</v>
          </cell>
          <cell r="C866">
            <v>333</v>
          </cell>
          <cell r="D866" t="str">
            <v>1 L</v>
          </cell>
        </row>
        <row r="867">
          <cell r="A867">
            <v>1765</v>
          </cell>
          <cell r="B867" t="str">
            <v>CLORETO DE DICLOROACETILA</v>
          </cell>
          <cell r="C867">
            <v>333</v>
          </cell>
          <cell r="D867" t="str">
            <v>1 L</v>
          </cell>
        </row>
        <row r="868">
          <cell r="A868">
            <v>1766</v>
          </cell>
          <cell r="B868" t="str">
            <v>DICLOROFENILTRICLOROSSILANO</v>
          </cell>
          <cell r="C868">
            <v>333</v>
          </cell>
          <cell r="D868" t="str">
            <v>ZERO</v>
          </cell>
        </row>
        <row r="869">
          <cell r="A869">
            <v>1767</v>
          </cell>
          <cell r="B869" t="str">
            <v>DIETILDICLOROSSILANO</v>
          </cell>
          <cell r="C869">
            <v>333</v>
          </cell>
          <cell r="D869" t="str">
            <v>ZERO</v>
          </cell>
        </row>
        <row r="870">
          <cell r="A870">
            <v>1768</v>
          </cell>
          <cell r="B870" t="str">
            <v>ÁCIDO DIFLUORFOSFÓRICO, ANIDRO</v>
          </cell>
          <cell r="C870">
            <v>333</v>
          </cell>
          <cell r="D870" t="str">
            <v>1 L</v>
          </cell>
        </row>
        <row r="871">
          <cell r="A871">
            <v>1769</v>
          </cell>
          <cell r="B871" t="str">
            <v>DIFENILDICLOROSSILANO</v>
          </cell>
          <cell r="C871">
            <v>333</v>
          </cell>
          <cell r="D871" t="str">
            <v>ZERO</v>
          </cell>
        </row>
        <row r="872">
          <cell r="A872">
            <v>1770</v>
          </cell>
          <cell r="B872" t="str">
            <v>BROMETO DE DIFENILMETILA</v>
          </cell>
          <cell r="C872">
            <v>333</v>
          </cell>
          <cell r="D872" t="str">
            <v>1 kg</v>
          </cell>
        </row>
        <row r="873">
          <cell r="A873">
            <v>1771</v>
          </cell>
          <cell r="B873" t="str">
            <v>DODECILTRICLOROSSILANO</v>
          </cell>
          <cell r="C873">
            <v>333</v>
          </cell>
          <cell r="D873" t="str">
            <v>ZERO</v>
          </cell>
        </row>
        <row r="874">
          <cell r="A874">
            <v>1773</v>
          </cell>
          <cell r="B874" t="str">
            <v>CLORETO FÉRRICO, ANIDRO</v>
          </cell>
          <cell r="C874">
            <v>1000</v>
          </cell>
          <cell r="D874" t="str">
            <v>5 kg</v>
          </cell>
        </row>
        <row r="875">
          <cell r="A875">
            <v>1774</v>
          </cell>
          <cell r="B875" t="str">
            <v>CARGAS PARA EXTINTOR DE INCÊNDIO, líquidas, corrosivas</v>
          </cell>
          <cell r="C875">
            <v>333</v>
          </cell>
          <cell r="D875" t="str">
            <v>1 L</v>
          </cell>
        </row>
        <row r="876">
          <cell r="A876">
            <v>1775</v>
          </cell>
          <cell r="B876" t="str">
            <v>ÁCIDO FLUORBÓRICO</v>
          </cell>
          <cell r="C876">
            <v>333</v>
          </cell>
          <cell r="D876" t="str">
            <v>1 L</v>
          </cell>
        </row>
        <row r="877">
          <cell r="A877">
            <v>1776</v>
          </cell>
          <cell r="B877" t="str">
            <v>ÁCIDO FLUORFOSFÓRICO, ANIDRO</v>
          </cell>
          <cell r="C877">
            <v>333</v>
          </cell>
          <cell r="D877" t="str">
            <v>1 L</v>
          </cell>
        </row>
        <row r="878">
          <cell r="A878">
            <v>1777</v>
          </cell>
          <cell r="B878" t="str">
            <v>ÁCIDO FLUORSULFÔNICO</v>
          </cell>
          <cell r="C878">
            <v>20</v>
          </cell>
          <cell r="D878" t="str">
            <v>ZERO</v>
          </cell>
        </row>
        <row r="879">
          <cell r="A879">
            <v>1778</v>
          </cell>
          <cell r="B879" t="str">
            <v>ÁCIDO FLUORSILÍCICO</v>
          </cell>
          <cell r="C879">
            <v>333</v>
          </cell>
          <cell r="D879" t="str">
            <v>1 L</v>
          </cell>
        </row>
        <row r="880">
          <cell r="A880">
            <v>1779</v>
          </cell>
          <cell r="B880" t="str">
            <v>ÁCIDO FÓRMICO com mais de 85% de ácido em massa</v>
          </cell>
          <cell r="C880">
            <v>333</v>
          </cell>
          <cell r="D880" t="str">
            <v>1 L</v>
          </cell>
        </row>
        <row r="881">
          <cell r="A881">
            <v>1780</v>
          </cell>
          <cell r="B881" t="str">
            <v>CLORETO DE FUMARILA</v>
          </cell>
          <cell r="C881">
            <v>333</v>
          </cell>
          <cell r="D881" t="str">
            <v>1 L</v>
          </cell>
        </row>
        <row r="882">
          <cell r="A882">
            <v>1781</v>
          </cell>
          <cell r="B882" t="str">
            <v>HEXADECILTRICLOROSSILANO</v>
          </cell>
          <cell r="C882">
            <v>333</v>
          </cell>
          <cell r="D882" t="str">
            <v>ZERO</v>
          </cell>
        </row>
        <row r="883">
          <cell r="A883">
            <v>1782</v>
          </cell>
          <cell r="B883" t="str">
            <v>ÁCIDO HEXAFLUORFOSFÓRICO</v>
          </cell>
          <cell r="C883">
            <v>333</v>
          </cell>
          <cell r="D883" t="str">
            <v>1 L</v>
          </cell>
        </row>
        <row r="884">
          <cell r="A884">
            <v>1783</v>
          </cell>
          <cell r="B884" t="str">
            <v>HEXAMETILENODIAMINA SOLUÇÃO</v>
          </cell>
          <cell r="C884">
            <v>333</v>
          </cell>
          <cell r="D884" t="str">
            <v>1 L</v>
          </cell>
        </row>
        <row r="885">
          <cell r="A885">
            <v>1784</v>
          </cell>
          <cell r="B885" t="str">
            <v>HEXILTRICLOROSSILANO</v>
          </cell>
          <cell r="C885">
            <v>333</v>
          </cell>
          <cell r="D885" t="str">
            <v>ZERO</v>
          </cell>
        </row>
        <row r="886">
          <cell r="A886">
            <v>1786</v>
          </cell>
          <cell r="B886" t="str">
            <v>MISTURA DE ÁCIDO FLUORÍDRICO E ÁCIDO SULFÚRICO</v>
          </cell>
          <cell r="C886">
            <v>20</v>
          </cell>
          <cell r="D886" t="str">
            <v>ZERO</v>
          </cell>
        </row>
        <row r="887">
          <cell r="A887">
            <v>1787</v>
          </cell>
          <cell r="B887" t="str">
            <v>ÁCIDO IODÍDRICO</v>
          </cell>
          <cell r="C887">
            <v>333</v>
          </cell>
          <cell r="D887" t="str">
            <v>1 L</v>
          </cell>
        </row>
        <row r="888">
          <cell r="A888">
            <v>1788</v>
          </cell>
          <cell r="B888" t="str">
            <v>ÁCIDO BROMÍDRICO</v>
          </cell>
          <cell r="C888">
            <v>333</v>
          </cell>
          <cell r="D888" t="str">
            <v>1 L</v>
          </cell>
        </row>
        <row r="889">
          <cell r="A889">
            <v>1789</v>
          </cell>
          <cell r="B889" t="str">
            <v>ÁCIDO CLORÍDRICO</v>
          </cell>
          <cell r="C889">
            <v>333</v>
          </cell>
          <cell r="D889" t="str">
            <v>1 L</v>
          </cell>
        </row>
        <row r="890">
          <cell r="A890">
            <v>1790</v>
          </cell>
          <cell r="B890" t="str">
            <v>ÁCIDO FLUORÍDRICO, com mais de 60% de ácido fluorídrico</v>
          </cell>
          <cell r="C890">
            <v>20</v>
          </cell>
          <cell r="D890" t="str">
            <v>ZERO</v>
          </cell>
        </row>
        <row r="891">
          <cell r="A891">
            <v>1790</v>
          </cell>
          <cell r="B891" t="str">
            <v>ÁCIDO FLUORÍDRICO, com até 60% de ácido fluorídrico</v>
          </cell>
          <cell r="C891">
            <v>333</v>
          </cell>
          <cell r="D891" t="str">
            <v>1 L</v>
          </cell>
        </row>
        <row r="892">
          <cell r="A892">
            <v>1791</v>
          </cell>
          <cell r="B892" t="str">
            <v>HIPOCLORITO SOLUÇÃO</v>
          </cell>
          <cell r="C892">
            <v>333</v>
          </cell>
          <cell r="D892" t="str">
            <v>1 L</v>
          </cell>
        </row>
        <row r="893">
          <cell r="A893">
            <v>1792</v>
          </cell>
          <cell r="B893" t="str">
            <v>MONOCLORETO DE IODO, SÓLIDO</v>
          </cell>
          <cell r="C893">
            <v>333</v>
          </cell>
          <cell r="D893" t="str">
            <v>1 kg</v>
          </cell>
        </row>
        <row r="894">
          <cell r="A894">
            <v>1793</v>
          </cell>
          <cell r="B894" t="str">
            <v>FOSFATO ÁCIDO DE ISOPROPILA</v>
          </cell>
          <cell r="C894">
            <v>1000</v>
          </cell>
          <cell r="D894" t="str">
            <v>5 L</v>
          </cell>
        </row>
        <row r="895">
          <cell r="A895">
            <v>1794</v>
          </cell>
          <cell r="B895" t="str">
            <v>SULFATO DE CHUMBO com mais de 3% de ácido livre</v>
          </cell>
          <cell r="C895">
            <v>333</v>
          </cell>
          <cell r="D895" t="str">
            <v>1 kg</v>
          </cell>
        </row>
        <row r="896">
          <cell r="A896">
            <v>1796</v>
          </cell>
          <cell r="B896" t="str">
            <v>MISTURA NITRANTE ÁCIDA, com mais de 50% de ácido nítrico</v>
          </cell>
          <cell r="C896">
            <v>20</v>
          </cell>
          <cell r="D896" t="str">
            <v>ZERO</v>
          </cell>
        </row>
        <row r="897">
          <cell r="A897">
            <v>1796</v>
          </cell>
          <cell r="B897" t="str">
            <v>MISTURA NITRANTE ÁCIDA, com até 50% de ácido nítrico</v>
          </cell>
          <cell r="C897">
            <v>333</v>
          </cell>
          <cell r="D897" t="str">
            <v>1 L</v>
          </cell>
        </row>
        <row r="898">
          <cell r="A898">
            <v>1798</v>
          </cell>
          <cell r="B898" t="str">
            <v>ÁCIDO NITROCLORÍDRICO</v>
          </cell>
          <cell r="C898">
            <v>20</v>
          </cell>
          <cell r="D898" t="str">
            <v>ZERO</v>
          </cell>
        </row>
        <row r="899">
          <cell r="A899">
            <v>1799</v>
          </cell>
          <cell r="B899" t="str">
            <v>NONILTRICLOROSSILANO</v>
          </cell>
          <cell r="C899">
            <v>333</v>
          </cell>
          <cell r="D899" t="str">
            <v>ZERO</v>
          </cell>
        </row>
        <row r="900">
          <cell r="A900">
            <v>1800</v>
          </cell>
          <cell r="B900" t="str">
            <v>OCTADECILTRICLOROSSILANO</v>
          </cell>
          <cell r="C900">
            <v>333</v>
          </cell>
          <cell r="D900" t="str">
            <v>ZERO</v>
          </cell>
        </row>
        <row r="901">
          <cell r="A901">
            <v>1801</v>
          </cell>
          <cell r="B901" t="str">
            <v>OCTILTRICLOROSSILANO</v>
          </cell>
          <cell r="C901">
            <v>333</v>
          </cell>
          <cell r="D901" t="str">
            <v>ZERO</v>
          </cell>
        </row>
        <row r="902">
          <cell r="A902">
            <v>1802</v>
          </cell>
          <cell r="B902" t="str">
            <v>ÁCIDO PERCLÓRICO com até 50% de ácido, em massa</v>
          </cell>
          <cell r="C902">
            <v>333</v>
          </cell>
          <cell r="D902" t="str">
            <v>1 L</v>
          </cell>
        </row>
        <row r="903">
          <cell r="A903">
            <v>1803</v>
          </cell>
          <cell r="B903" t="str">
            <v>ÁCIDO FENOLSULFÔNICO, LÍQUIDO</v>
          </cell>
          <cell r="C903">
            <v>333</v>
          </cell>
          <cell r="D903" t="str">
            <v>1 L</v>
          </cell>
        </row>
        <row r="904">
          <cell r="A904">
            <v>1804</v>
          </cell>
          <cell r="B904" t="str">
            <v>FENILTRICLOROSSILANO</v>
          </cell>
          <cell r="C904">
            <v>333</v>
          </cell>
          <cell r="D904" t="str">
            <v>ZERO</v>
          </cell>
        </row>
        <row r="905">
          <cell r="A905">
            <v>1805</v>
          </cell>
          <cell r="B905" t="str">
            <v>ÁCIDO FOSFÓRICO, SOLUÇÃO</v>
          </cell>
          <cell r="C905">
            <v>1000</v>
          </cell>
          <cell r="D905" t="str">
            <v>5 L</v>
          </cell>
        </row>
        <row r="906">
          <cell r="A906">
            <v>1806</v>
          </cell>
          <cell r="B906" t="str">
            <v>PENTACLORETO DE FÓSFORO</v>
          </cell>
          <cell r="C906">
            <v>333</v>
          </cell>
          <cell r="D906" t="str">
            <v>1 kg</v>
          </cell>
        </row>
        <row r="907">
          <cell r="A907">
            <v>1807</v>
          </cell>
          <cell r="B907" t="str">
            <v>PENTÓXIDO DE FÓSFORO</v>
          </cell>
          <cell r="C907">
            <v>333</v>
          </cell>
          <cell r="D907" t="str">
            <v>1 kg</v>
          </cell>
        </row>
        <row r="908">
          <cell r="A908">
            <v>1808</v>
          </cell>
          <cell r="B908" t="str">
            <v>TRIBROMETO DE FÓSFORO</v>
          </cell>
          <cell r="C908">
            <v>333</v>
          </cell>
          <cell r="D908" t="str">
            <v>1 L</v>
          </cell>
        </row>
        <row r="909">
          <cell r="A909">
            <v>1809</v>
          </cell>
          <cell r="B909" t="str">
            <v>TRICLORETO DE FÓSFORO</v>
          </cell>
          <cell r="C909">
            <v>20</v>
          </cell>
          <cell r="D909" t="str">
            <v>ZERO</v>
          </cell>
        </row>
        <row r="910">
          <cell r="A910">
            <v>1810</v>
          </cell>
          <cell r="B910" t="str">
            <v>OXICLORETO DE FÓSFORO</v>
          </cell>
          <cell r="C910">
            <v>333</v>
          </cell>
          <cell r="D910" t="str">
            <v>ZERO</v>
          </cell>
        </row>
        <row r="911">
          <cell r="A911">
            <v>1811</v>
          </cell>
          <cell r="B911" t="str">
            <v>HIDROGENODIFLUORETO DE POTÁSSIO SÓLIDO</v>
          </cell>
          <cell r="C911">
            <v>333</v>
          </cell>
          <cell r="D911" t="str">
            <v>1 kg</v>
          </cell>
        </row>
        <row r="912">
          <cell r="A912">
            <v>1812</v>
          </cell>
          <cell r="B912" t="str">
            <v>FLUORETO DE POTÁSSIO SÓLIDO</v>
          </cell>
          <cell r="C912">
            <v>333</v>
          </cell>
          <cell r="D912" t="str">
            <v>5 kg</v>
          </cell>
        </row>
        <row r="913">
          <cell r="A913">
            <v>1813</v>
          </cell>
          <cell r="B913" t="str">
            <v>HIDRÓXIDO DE POTÁSSIO, SÓLIDO</v>
          </cell>
          <cell r="C913">
            <v>333</v>
          </cell>
          <cell r="D913" t="str">
            <v>1 kg</v>
          </cell>
        </row>
        <row r="914">
          <cell r="A914">
            <v>1814</v>
          </cell>
          <cell r="B914" t="str">
            <v>HIDRÓXIDO DE POTÁSSIO SOLUÇÃO</v>
          </cell>
          <cell r="C914">
            <v>333</v>
          </cell>
          <cell r="D914" t="str">
            <v>1 L</v>
          </cell>
        </row>
        <row r="915">
          <cell r="A915">
            <v>1815</v>
          </cell>
          <cell r="B915" t="str">
            <v>CLORETO DE PROPIONILA</v>
          </cell>
          <cell r="C915">
            <v>333</v>
          </cell>
          <cell r="D915" t="str">
            <v>1 L</v>
          </cell>
        </row>
        <row r="916">
          <cell r="A916">
            <v>1816</v>
          </cell>
          <cell r="B916" t="str">
            <v>PROPILTRICLOROSSILANO</v>
          </cell>
          <cell r="C916">
            <v>333</v>
          </cell>
          <cell r="D916" t="str">
            <v>ZERO</v>
          </cell>
        </row>
        <row r="917">
          <cell r="A917">
            <v>1817</v>
          </cell>
          <cell r="B917" t="str">
            <v>CLORETO DE PIROSSULFURILA</v>
          </cell>
          <cell r="C917">
            <v>333</v>
          </cell>
          <cell r="D917" t="str">
            <v>1 L</v>
          </cell>
        </row>
        <row r="918">
          <cell r="A918">
            <v>1818</v>
          </cell>
          <cell r="B918" t="str">
            <v>TETRACLORETO DE SILÍCIO</v>
          </cell>
          <cell r="C918">
            <v>333</v>
          </cell>
          <cell r="D918" t="str">
            <v>ZERO</v>
          </cell>
        </row>
        <row r="919">
          <cell r="A919">
            <v>1819</v>
          </cell>
          <cell r="B919" t="str">
            <v>ALUMINATO DE SÓDIO SOLUÇÃO</v>
          </cell>
          <cell r="C919">
            <v>333</v>
          </cell>
          <cell r="D919" t="str">
            <v>1 L</v>
          </cell>
        </row>
        <row r="920">
          <cell r="A920">
            <v>1823</v>
          </cell>
          <cell r="B920" t="str">
            <v>HIDRÓXIDO DE SÓDIO, SÓLIDO</v>
          </cell>
          <cell r="C920">
            <v>333</v>
          </cell>
          <cell r="D920" t="str">
            <v>1 kg</v>
          </cell>
        </row>
        <row r="921">
          <cell r="A921">
            <v>1824</v>
          </cell>
          <cell r="B921" t="str">
            <v>HIDRÓXIDO DE SÓDIO SOLUÇÃO</v>
          </cell>
          <cell r="C921">
            <v>333</v>
          </cell>
          <cell r="D921" t="str">
            <v>1 L</v>
          </cell>
        </row>
        <row r="922">
          <cell r="A922">
            <v>1825</v>
          </cell>
          <cell r="B922" t="str">
            <v>MONÓXIDO DE SÓDIO</v>
          </cell>
          <cell r="C922">
            <v>333</v>
          </cell>
          <cell r="D922" t="str">
            <v>1 kg</v>
          </cell>
        </row>
        <row r="923">
          <cell r="A923">
            <v>1826</v>
          </cell>
          <cell r="B923" t="str">
            <v>MISTURA NITRANTE ÁCIDA, RESIDUAL, com mais de 50% de ácido nítrico</v>
          </cell>
          <cell r="C923">
            <v>20</v>
          </cell>
          <cell r="D923" t="str">
            <v>ZERO</v>
          </cell>
        </row>
        <row r="924">
          <cell r="A924">
            <v>1826</v>
          </cell>
          <cell r="B924" t="str">
            <v>MISTURA NITRANTE ÁCIDA, RESIDUAL, com até 50% de ácido nítrico</v>
          </cell>
          <cell r="C924">
            <v>333</v>
          </cell>
          <cell r="D924" t="str">
            <v>1 L</v>
          </cell>
        </row>
        <row r="925">
          <cell r="A925">
            <v>1827</v>
          </cell>
          <cell r="B925" t="str">
            <v>CLORETO ESTÂNICO, ANIDRO</v>
          </cell>
          <cell r="C925">
            <v>333</v>
          </cell>
          <cell r="D925" t="str">
            <v>1 L</v>
          </cell>
        </row>
        <row r="926">
          <cell r="A926">
            <v>1828</v>
          </cell>
          <cell r="B926" t="str">
            <v>CLORETO(S) DE ENXOFRE</v>
          </cell>
          <cell r="C926">
            <v>20</v>
          </cell>
          <cell r="D926" t="str">
            <v>ZERO</v>
          </cell>
        </row>
        <row r="927">
          <cell r="A927">
            <v>1829</v>
          </cell>
          <cell r="B927" t="str">
            <v>TRIÓXIDO DE ENXOFRE, ESTABILIZADO</v>
          </cell>
          <cell r="C927">
            <v>20</v>
          </cell>
          <cell r="D927" t="str">
            <v>ZERO</v>
          </cell>
        </row>
        <row r="928">
          <cell r="A928">
            <v>1830</v>
          </cell>
          <cell r="B928" t="str">
            <v>ÁCIDO SULFÚRICO, com mais de 51% de ácido</v>
          </cell>
          <cell r="C928">
            <v>333</v>
          </cell>
          <cell r="D928" t="str">
            <v>1 L</v>
          </cell>
        </row>
        <row r="929">
          <cell r="A929">
            <v>1831</v>
          </cell>
          <cell r="B929" t="str">
            <v>ÁCIDO SULFÚRICO, FUMEGANTE</v>
          </cell>
          <cell r="C929">
            <v>20</v>
          </cell>
          <cell r="D929" t="str">
            <v>ZERO</v>
          </cell>
        </row>
        <row r="930">
          <cell r="A930">
            <v>1832</v>
          </cell>
          <cell r="B930" t="str">
            <v>ÁCIDO SULFÚRICO, RESIDUAL</v>
          </cell>
          <cell r="C930">
            <v>333</v>
          </cell>
          <cell r="D930" t="str">
            <v>1 L</v>
          </cell>
        </row>
        <row r="931">
          <cell r="A931">
            <v>1833</v>
          </cell>
          <cell r="B931" t="str">
            <v>ÁCIDO SULFUROSO</v>
          </cell>
          <cell r="C931">
            <v>333</v>
          </cell>
          <cell r="D931" t="str">
            <v>1 L</v>
          </cell>
        </row>
        <row r="932">
          <cell r="A932">
            <v>1834</v>
          </cell>
          <cell r="B932" t="str">
            <v>CLORETO DE SULFURILA</v>
          </cell>
          <cell r="C932">
            <v>20</v>
          </cell>
          <cell r="D932" t="str">
            <v>ZERO</v>
          </cell>
        </row>
        <row r="933">
          <cell r="A933">
            <v>1835</v>
          </cell>
          <cell r="B933" t="str">
            <v>HIDRÓXIDO DE TETRAMETILAMÔNIO SOLUÇÃO</v>
          </cell>
          <cell r="C933">
            <v>333</v>
          </cell>
          <cell r="D933" t="str">
            <v>1 L</v>
          </cell>
        </row>
        <row r="934">
          <cell r="A934">
            <v>1836</v>
          </cell>
          <cell r="B934" t="str">
            <v>CLORETO DE TIONILA</v>
          </cell>
          <cell r="C934">
            <v>20</v>
          </cell>
          <cell r="D934" t="str">
            <v>ZERO</v>
          </cell>
        </row>
        <row r="935">
          <cell r="A935">
            <v>1837</v>
          </cell>
          <cell r="B935" t="str">
            <v>CLORETO DE TIOFOSFORILA</v>
          </cell>
          <cell r="C935">
            <v>333</v>
          </cell>
          <cell r="D935" t="str">
            <v>1 L</v>
          </cell>
        </row>
        <row r="936">
          <cell r="A936">
            <v>1838</v>
          </cell>
          <cell r="B936" t="str">
            <v>TETRACLORETO DE TITÂNIO</v>
          </cell>
          <cell r="C936">
            <v>333</v>
          </cell>
          <cell r="D936" t="str">
            <v>ZERO</v>
          </cell>
        </row>
        <row r="937">
          <cell r="A937">
            <v>1839</v>
          </cell>
          <cell r="B937" t="str">
            <v>ÁCIDO TRICLOROACÉTICO</v>
          </cell>
          <cell r="C937">
            <v>333</v>
          </cell>
          <cell r="D937" t="str">
            <v>1 kg</v>
          </cell>
        </row>
        <row r="938">
          <cell r="A938">
            <v>1840</v>
          </cell>
          <cell r="B938" t="str">
            <v>CLORETO DE ZINCO SOLUÇÃO</v>
          </cell>
          <cell r="C938">
            <v>1000</v>
          </cell>
          <cell r="D938" t="str">
            <v>5 L</v>
          </cell>
        </row>
        <row r="939">
          <cell r="A939">
            <v>1841</v>
          </cell>
          <cell r="B939" t="str">
            <v>ACETALDEÍDO DE AMÔNIA</v>
          </cell>
          <cell r="C939">
            <v>1000</v>
          </cell>
          <cell r="D939" t="str">
            <v>5 kg</v>
          </cell>
        </row>
        <row r="940">
          <cell r="A940">
            <v>1843</v>
          </cell>
          <cell r="B940" t="str">
            <v>DINITRO-o-CRESOLATO DE AMÔNIO, SÓLIDO</v>
          </cell>
          <cell r="C940">
            <v>333</v>
          </cell>
          <cell r="D940" t="str">
            <v>500 g</v>
          </cell>
        </row>
        <row r="941">
          <cell r="A941">
            <v>1845</v>
          </cell>
          <cell r="B941" t="str">
            <v>DIÓXIDO DE CARBONO, SÓLIDO (GELO SECO)</v>
          </cell>
          <cell r="C941" t="str">
            <v>ILIMITADA</v>
          </cell>
          <cell r="D941" t="str">
            <v>ZERO</v>
          </cell>
        </row>
        <row r="942">
          <cell r="A942">
            <v>1846</v>
          </cell>
          <cell r="B942" t="str">
            <v>TETRACLORETO DE CARBONO</v>
          </cell>
          <cell r="C942">
            <v>333</v>
          </cell>
          <cell r="D942" t="str">
            <v>100 ml</v>
          </cell>
        </row>
        <row r="943">
          <cell r="A943">
            <v>1847</v>
          </cell>
          <cell r="B943" t="str">
            <v>SULFETO DE POTÁSSIO, HIDRATADO com no mínimo 30% de água de cristalização</v>
          </cell>
          <cell r="C943">
            <v>333</v>
          </cell>
          <cell r="D943" t="str">
            <v>1 kg</v>
          </cell>
        </row>
        <row r="944">
          <cell r="A944">
            <v>1848</v>
          </cell>
          <cell r="B944" t="str">
            <v>ÁCIDO PROPIÔNICO com no mínimo 10% e com menos de 90% de ácido em massa</v>
          </cell>
          <cell r="C944">
            <v>1000</v>
          </cell>
          <cell r="D944" t="str">
            <v>5 L</v>
          </cell>
        </row>
        <row r="945">
          <cell r="A945">
            <v>1849</v>
          </cell>
          <cell r="B945" t="str">
            <v>SULFETO DE SÓDIO, HIDRATADO com no mínimo 30% de água</v>
          </cell>
          <cell r="C945">
            <v>333</v>
          </cell>
          <cell r="D945" t="str">
            <v>1 kg</v>
          </cell>
        </row>
        <row r="946">
          <cell r="A946">
            <v>1851</v>
          </cell>
          <cell r="B946" t="str">
            <v>MEDICAMENTO, TÓXICO, LÍQUIDO, N.E.</v>
          </cell>
          <cell r="C946">
            <v>333</v>
          </cell>
          <cell r="D946" t="str">
            <v>100 ml</v>
          </cell>
        </row>
        <row r="947">
          <cell r="A947">
            <v>1854</v>
          </cell>
          <cell r="B947" t="str">
            <v>LIGAS DE BÁRIO, PIROFÓRICA(S)</v>
          </cell>
          <cell r="C947" t="str">
            <v>ZERO</v>
          </cell>
          <cell r="D947" t="str">
            <v>ZERO</v>
          </cell>
        </row>
        <row r="948">
          <cell r="A948">
            <v>1855</v>
          </cell>
          <cell r="B948" t="str">
            <v>CÁLCIO, PIROFÓRICO, ou LIGAS DE CÁLCIO, PIROFÓRICAS</v>
          </cell>
          <cell r="C948" t="str">
            <v>ZERO</v>
          </cell>
          <cell r="D948" t="str">
            <v>ZERO</v>
          </cell>
        </row>
        <row r="949">
          <cell r="A949">
            <v>1856</v>
          </cell>
          <cell r="B949" t="str">
            <v>TRAPOS, OLEOSOS</v>
          </cell>
          <cell r="C949" t="str">
            <v>ZERO</v>
          </cell>
          <cell r="D949" t="str">
            <v>ZERO</v>
          </cell>
        </row>
        <row r="950">
          <cell r="A950">
            <v>1858</v>
          </cell>
          <cell r="B950" t="str">
            <v>HEXAFLUORPROPILENO (GÁS REFRIGERANTE R 1216)</v>
          </cell>
          <cell r="C950">
            <v>1000</v>
          </cell>
          <cell r="D950" t="str">
            <v>120 ml</v>
          </cell>
        </row>
        <row r="951">
          <cell r="A951">
            <v>1859</v>
          </cell>
          <cell r="B951" t="str">
            <v>TETRAFLUORETO DE SILÍCIO</v>
          </cell>
          <cell r="C951">
            <v>20</v>
          </cell>
          <cell r="D951" t="str">
            <v>ZERO</v>
          </cell>
        </row>
        <row r="952">
          <cell r="A952">
            <v>1860</v>
          </cell>
          <cell r="B952" t="str">
            <v>FLUORETO DE VINILA, ESTABILIZADO</v>
          </cell>
          <cell r="C952">
            <v>333</v>
          </cell>
          <cell r="D952" t="str">
            <v>ZERO</v>
          </cell>
        </row>
        <row r="953">
          <cell r="A953">
            <v>1862</v>
          </cell>
          <cell r="B953" t="str">
            <v>CROTONATO DE ETILA</v>
          </cell>
          <cell r="C953">
            <v>333</v>
          </cell>
          <cell r="D953" t="str">
            <v>1 L</v>
          </cell>
        </row>
        <row r="954">
          <cell r="A954">
            <v>1863</v>
          </cell>
          <cell r="B954" t="str">
            <v>COMBUSTÍVEL PARA AVIÕES A TURBINA ou QUEROSENE DE AVIAÇÃO QAV-1 ou JET A-1</v>
          </cell>
          <cell r="C954">
            <v>20</v>
          </cell>
          <cell r="D954" t="str">
            <v>1 L</v>
          </cell>
        </row>
        <row r="955">
          <cell r="A955">
            <v>1865</v>
          </cell>
          <cell r="B955" t="str">
            <v>NITRATO DE n-PROPILA</v>
          </cell>
          <cell r="C955">
            <v>333</v>
          </cell>
          <cell r="D955" t="str">
            <v>1 L</v>
          </cell>
        </row>
        <row r="956">
          <cell r="A956">
            <v>1866</v>
          </cell>
          <cell r="B956" t="str">
            <v>RESINA SOLUÇÃO, inflamável</v>
          </cell>
          <cell r="C956">
            <v>20</v>
          </cell>
          <cell r="D956" t="str">
            <v>5 L</v>
          </cell>
        </row>
        <row r="957">
          <cell r="A957">
            <v>1868</v>
          </cell>
          <cell r="B957" t="str">
            <v>DECABORANO</v>
          </cell>
          <cell r="C957">
            <v>333</v>
          </cell>
          <cell r="D957" t="str">
            <v>1 kg</v>
          </cell>
        </row>
        <row r="958">
          <cell r="A958">
            <v>1869</v>
          </cell>
          <cell r="B958" t="str">
            <v>MAGNÉSIO ou LIGAS DE MAGNÉSIO com mais de 50% de magnésio, em grânulos, limalhas ou aparas</v>
          </cell>
          <cell r="C958">
            <v>1000</v>
          </cell>
          <cell r="D958" t="str">
            <v>5 kg</v>
          </cell>
        </row>
        <row r="959">
          <cell r="A959">
            <v>1870</v>
          </cell>
          <cell r="B959" t="str">
            <v>BORO-HIDRETO DE POTÁSSIO</v>
          </cell>
          <cell r="C959">
            <v>20</v>
          </cell>
          <cell r="D959" t="str">
            <v>ZERO</v>
          </cell>
        </row>
        <row r="960">
          <cell r="A960">
            <v>1871</v>
          </cell>
          <cell r="B960" t="str">
            <v>HIDRETO DE TITÂNIO</v>
          </cell>
          <cell r="C960">
            <v>333</v>
          </cell>
          <cell r="D960" t="str">
            <v>1 kg</v>
          </cell>
        </row>
        <row r="961">
          <cell r="A961">
            <v>1872</v>
          </cell>
          <cell r="B961" t="str">
            <v>DIÓXIDO DE CHUMBO</v>
          </cell>
          <cell r="C961">
            <v>1000</v>
          </cell>
          <cell r="D961" t="str">
            <v>5 kg</v>
          </cell>
        </row>
        <row r="962">
          <cell r="A962">
            <v>1873</v>
          </cell>
          <cell r="B962" t="str">
            <v>ÁCIDO PERCLÓRICO com mais de 50% e até 72% de ácido, em massa</v>
          </cell>
          <cell r="C962">
            <v>20</v>
          </cell>
          <cell r="D962" t="str">
            <v>ZERO</v>
          </cell>
        </row>
        <row r="963">
          <cell r="A963">
            <v>1884</v>
          </cell>
          <cell r="B963" t="str">
            <v>ÓXIDO DE BÁRIO</v>
          </cell>
          <cell r="C963">
            <v>333</v>
          </cell>
          <cell r="D963" t="str">
            <v>5 kg</v>
          </cell>
        </row>
        <row r="964">
          <cell r="A964">
            <v>1885</v>
          </cell>
          <cell r="B964" t="str">
            <v>BENZIDINA</v>
          </cell>
          <cell r="C964">
            <v>333</v>
          </cell>
          <cell r="D964" t="str">
            <v>500 g</v>
          </cell>
        </row>
        <row r="965">
          <cell r="A965">
            <v>1886</v>
          </cell>
          <cell r="B965" t="str">
            <v>CLORETO DE BENZILIDENO</v>
          </cell>
          <cell r="C965">
            <v>333</v>
          </cell>
          <cell r="D965" t="str">
            <v>100 ml</v>
          </cell>
        </row>
        <row r="966">
          <cell r="A966">
            <v>1887</v>
          </cell>
          <cell r="B966" t="str">
            <v>BROMOCLOROMETANO</v>
          </cell>
          <cell r="C966">
            <v>333</v>
          </cell>
          <cell r="D966" t="str">
            <v>5 L</v>
          </cell>
        </row>
        <row r="967">
          <cell r="A967">
            <v>1888</v>
          </cell>
          <cell r="B967" t="str">
            <v>CLOROFÓRMIO</v>
          </cell>
          <cell r="C967">
            <v>333</v>
          </cell>
          <cell r="D967" t="str">
            <v>5 L</v>
          </cell>
        </row>
        <row r="968">
          <cell r="A968">
            <v>1889</v>
          </cell>
          <cell r="B968" t="str">
            <v>BROMETO DE CIANOGÊNIO</v>
          </cell>
          <cell r="C968">
            <v>20</v>
          </cell>
          <cell r="D968" t="str">
            <v>ZERO</v>
          </cell>
        </row>
        <row r="969">
          <cell r="A969">
            <v>1891</v>
          </cell>
          <cell r="B969" t="str">
            <v>BROMETO DE ETILA</v>
          </cell>
          <cell r="C969">
            <v>333</v>
          </cell>
          <cell r="D969" t="str">
            <v>100 ml</v>
          </cell>
        </row>
        <row r="970">
          <cell r="A970">
            <v>1892</v>
          </cell>
          <cell r="B970" t="str">
            <v>ETILDICLOROARSINA</v>
          </cell>
          <cell r="C970">
            <v>20</v>
          </cell>
          <cell r="D970" t="str">
            <v>ZERO</v>
          </cell>
        </row>
        <row r="971">
          <cell r="A971">
            <v>1894</v>
          </cell>
          <cell r="B971" t="str">
            <v>HIDRÓXIDO FENILMERCÚRIO</v>
          </cell>
          <cell r="C971">
            <v>333</v>
          </cell>
          <cell r="D971" t="str">
            <v>500 g</v>
          </cell>
        </row>
        <row r="972">
          <cell r="A972">
            <v>1895</v>
          </cell>
          <cell r="B972" t="str">
            <v>NITRATO FENILMERCÚRIO</v>
          </cell>
          <cell r="C972">
            <v>333</v>
          </cell>
          <cell r="D972" t="str">
            <v>500 g</v>
          </cell>
        </row>
        <row r="973">
          <cell r="A973">
            <v>1897</v>
          </cell>
          <cell r="B973" t="str">
            <v>TETRACLOROETILENO</v>
          </cell>
          <cell r="C973">
            <v>333</v>
          </cell>
          <cell r="D973" t="str">
            <v>5 L</v>
          </cell>
        </row>
        <row r="974">
          <cell r="A974">
            <v>1898</v>
          </cell>
          <cell r="B974" t="str">
            <v>IODETO DE ACETILA</v>
          </cell>
          <cell r="C974">
            <v>333</v>
          </cell>
          <cell r="D974" t="str">
            <v>1 L</v>
          </cell>
        </row>
        <row r="975">
          <cell r="A975">
            <v>1902</v>
          </cell>
          <cell r="B975" t="str">
            <v>FOSFATO ÁCIDO DE DIISOOCTILA</v>
          </cell>
          <cell r="C975">
            <v>1000</v>
          </cell>
          <cell r="D975" t="str">
            <v>5 L</v>
          </cell>
        </row>
        <row r="976">
          <cell r="A976">
            <v>1903</v>
          </cell>
          <cell r="B976" t="str">
            <v>DESINFETANTE, CORROSIVO, LÍQUIDO, N.E.</v>
          </cell>
          <cell r="C976">
            <v>20</v>
          </cell>
          <cell r="D976" t="str">
            <v>1 L</v>
          </cell>
        </row>
        <row r="977">
          <cell r="A977">
            <v>1905</v>
          </cell>
          <cell r="B977" t="str">
            <v>ÁCIDO SELÊNICO</v>
          </cell>
          <cell r="C977">
            <v>20</v>
          </cell>
          <cell r="D977" t="str">
            <v>ZERO</v>
          </cell>
        </row>
        <row r="978">
          <cell r="A978">
            <v>1906</v>
          </cell>
          <cell r="B978" t="str">
            <v>LAMA ÁCIDA</v>
          </cell>
          <cell r="C978">
            <v>333</v>
          </cell>
          <cell r="D978" t="str">
            <v>1 L</v>
          </cell>
        </row>
        <row r="979">
          <cell r="A979">
            <v>1907</v>
          </cell>
          <cell r="B979" t="str">
            <v>CAL SODADA, com mais de 4% de hidróxido de sódio</v>
          </cell>
          <cell r="C979">
            <v>1000</v>
          </cell>
          <cell r="D979" t="str">
            <v>5 kg</v>
          </cell>
        </row>
        <row r="980">
          <cell r="A980">
            <v>1908</v>
          </cell>
          <cell r="B980" t="str">
            <v>CLORITO, SOLUÇÃO</v>
          </cell>
          <cell r="C980">
            <v>333</v>
          </cell>
          <cell r="D980" t="str">
            <v>1 L</v>
          </cell>
        </row>
        <row r="981">
          <cell r="A981">
            <v>1910</v>
          </cell>
          <cell r="B981" t="str">
            <v>ÓXIDO DE CÁLCIO</v>
          </cell>
          <cell r="C981">
            <v>1000</v>
          </cell>
          <cell r="D981" t="str">
            <v>5 L</v>
          </cell>
        </row>
        <row r="982">
          <cell r="A982">
            <v>1911</v>
          </cell>
          <cell r="B982" t="str">
            <v>DIBORANO</v>
          </cell>
          <cell r="C982">
            <v>20</v>
          </cell>
          <cell r="D982" t="str">
            <v>ZERO</v>
          </cell>
        </row>
        <row r="983">
          <cell r="A983">
            <v>1912</v>
          </cell>
          <cell r="B983" t="str">
            <v>MISTURA DE CLORETO DE METILA E CLORETO DE METILENO</v>
          </cell>
          <cell r="C983">
            <v>333</v>
          </cell>
          <cell r="D983" t="str">
            <v>ZERO</v>
          </cell>
        </row>
        <row r="984">
          <cell r="A984">
            <v>1913</v>
          </cell>
          <cell r="B984" t="str">
            <v>NEÔNIO, LÍQUIDO REFRIGERADO</v>
          </cell>
          <cell r="C984">
            <v>1000</v>
          </cell>
          <cell r="D984" t="str">
            <v>120 ml</v>
          </cell>
        </row>
        <row r="985">
          <cell r="A985">
            <v>1914</v>
          </cell>
          <cell r="B985" t="str">
            <v>PROPIONATOS DE BUTILA</v>
          </cell>
          <cell r="C985">
            <v>1000</v>
          </cell>
          <cell r="D985" t="str">
            <v>5 L</v>
          </cell>
        </row>
        <row r="986">
          <cell r="A986">
            <v>1915</v>
          </cell>
          <cell r="B986" t="str">
            <v>CICLOHEXANONA</v>
          </cell>
          <cell r="C986">
            <v>1000</v>
          </cell>
          <cell r="D986" t="str">
            <v>5 L</v>
          </cell>
        </row>
        <row r="987">
          <cell r="A987">
            <v>1916</v>
          </cell>
          <cell r="B987" t="str">
            <v>ÉTER 2,2`-DICLORODIETÍLICO</v>
          </cell>
          <cell r="C987">
            <v>333</v>
          </cell>
          <cell r="D987" t="str">
            <v>100 ml</v>
          </cell>
        </row>
        <row r="988">
          <cell r="A988">
            <v>1917</v>
          </cell>
          <cell r="B988" t="str">
            <v>ACRILATO DE ETILA, ESTABILIZADO</v>
          </cell>
          <cell r="C988">
            <v>333</v>
          </cell>
          <cell r="D988" t="str">
            <v>1 L</v>
          </cell>
        </row>
        <row r="989">
          <cell r="A989">
            <v>1918</v>
          </cell>
          <cell r="B989" t="str">
            <v>ISOPROPILBENZENO</v>
          </cell>
          <cell r="C989">
            <v>1000</v>
          </cell>
          <cell r="D989" t="str">
            <v>5 L</v>
          </cell>
        </row>
        <row r="990">
          <cell r="A990">
            <v>1919</v>
          </cell>
          <cell r="B990" t="str">
            <v>ACRILATO DE METILA, ESTABILIZADO</v>
          </cell>
          <cell r="C990">
            <v>333</v>
          </cell>
          <cell r="D990" t="str">
            <v>1 L</v>
          </cell>
        </row>
        <row r="991">
          <cell r="A991">
            <v>1920</v>
          </cell>
          <cell r="B991" t="str">
            <v>NONANOS</v>
          </cell>
          <cell r="C991">
            <v>1000</v>
          </cell>
          <cell r="D991" t="str">
            <v>5 L</v>
          </cell>
        </row>
        <row r="992">
          <cell r="A992">
            <v>1921</v>
          </cell>
          <cell r="B992" t="str">
            <v>PROPILENOIMINA, ESTABILIZADA</v>
          </cell>
          <cell r="C992">
            <v>20</v>
          </cell>
          <cell r="D992" t="str">
            <v>ZERO</v>
          </cell>
        </row>
        <row r="993">
          <cell r="A993">
            <v>1922</v>
          </cell>
          <cell r="B993" t="str">
            <v>PIRROLIDINA</v>
          </cell>
          <cell r="C993">
            <v>333</v>
          </cell>
          <cell r="D993" t="str">
            <v>1 L</v>
          </cell>
        </row>
        <row r="994">
          <cell r="A994">
            <v>1923</v>
          </cell>
          <cell r="B994" t="str">
            <v>DITIONITO DE CÁLCIO (HIDROSSULFITO DE CÁLCIO)</v>
          </cell>
          <cell r="C994">
            <v>333</v>
          </cell>
          <cell r="D994" t="str">
            <v>ZERO</v>
          </cell>
        </row>
        <row r="995">
          <cell r="A995">
            <v>1928</v>
          </cell>
          <cell r="B995" t="str">
            <v>BROMETO DE METILMAGNÉSIO EM ÉTER ETÍLICO</v>
          </cell>
          <cell r="C995" t="str">
            <v>ZERO</v>
          </cell>
          <cell r="D995" t="str">
            <v>ZERO</v>
          </cell>
        </row>
        <row r="996">
          <cell r="A996">
            <v>1929</v>
          </cell>
          <cell r="B996" t="str">
            <v>DITIONITO DE POTÁSSIO (HIDROSSULFITO DE POTÁSSIO)</v>
          </cell>
          <cell r="C996">
            <v>333</v>
          </cell>
          <cell r="D996" t="str">
            <v>ZERO</v>
          </cell>
        </row>
        <row r="997">
          <cell r="A997">
            <v>1931</v>
          </cell>
          <cell r="B997" t="str">
            <v>DITIONITO DE ZINCO (HIDROSSULFITO DE ZINCO)</v>
          </cell>
          <cell r="C997">
            <v>1000</v>
          </cell>
          <cell r="D997" t="str">
            <v>5 kg</v>
          </cell>
        </row>
        <row r="998">
          <cell r="A998">
            <v>1932</v>
          </cell>
          <cell r="B998" t="str">
            <v>ZIRCÔNIO, APARAS</v>
          </cell>
          <cell r="C998">
            <v>1000</v>
          </cell>
          <cell r="D998" t="str">
            <v>ZERO</v>
          </cell>
        </row>
        <row r="999">
          <cell r="A999">
            <v>1935</v>
          </cell>
          <cell r="B999" t="str">
            <v>CIANETO SOLUÇÃO, N.E.</v>
          </cell>
          <cell r="C999">
            <v>20</v>
          </cell>
          <cell r="D999" t="str">
            <v>100 ml</v>
          </cell>
        </row>
        <row r="1000">
          <cell r="A1000">
            <v>1938</v>
          </cell>
          <cell r="B1000" t="str">
            <v>ÁCIDO BROMOACÉTICO SOLUÇÃO</v>
          </cell>
          <cell r="C1000">
            <v>333</v>
          </cell>
          <cell r="D1000" t="str">
            <v>1 L</v>
          </cell>
        </row>
        <row r="1001">
          <cell r="A1001">
            <v>1939</v>
          </cell>
          <cell r="B1001" t="str">
            <v>OXIBROMETO DE FÓSFORO</v>
          </cell>
          <cell r="C1001">
            <v>333</v>
          </cell>
          <cell r="D1001" t="str">
            <v>1 kg</v>
          </cell>
        </row>
        <row r="1002">
          <cell r="A1002">
            <v>1940</v>
          </cell>
          <cell r="B1002" t="str">
            <v>ÁCIDO TIOGLICÓLICO</v>
          </cell>
          <cell r="C1002">
            <v>333</v>
          </cell>
          <cell r="D1002" t="str">
            <v>1 L</v>
          </cell>
        </row>
        <row r="1003">
          <cell r="A1003">
            <v>1941</v>
          </cell>
          <cell r="B1003" t="str">
            <v>DIBROMODIFLUORMETANO</v>
          </cell>
          <cell r="C1003">
            <v>1000</v>
          </cell>
          <cell r="D1003" t="str">
            <v>5 L</v>
          </cell>
        </row>
        <row r="1004">
          <cell r="A1004">
            <v>1942</v>
          </cell>
          <cell r="B1004" t="str">
            <v>NITRATO DE AMÔNIO, contendo até 0,2% de substâncias combustíveis, inclusive qualquer substância orgânica calculada como carbono, exclusive qualquer outra substância adicionada</v>
          </cell>
          <cell r="C1004">
            <v>1000</v>
          </cell>
          <cell r="D1004" t="str">
            <v>5 kg</v>
          </cell>
        </row>
        <row r="1005">
          <cell r="A1005">
            <v>1944</v>
          </cell>
          <cell r="B1005" t="str">
            <v>FÓSFOROS DE SEGURANÇA (carteiras, cartelas ou caixas)</v>
          </cell>
          <cell r="C1005" t="str">
            <v>ILIMITADA</v>
          </cell>
          <cell r="D1005" t="str">
            <v>5 kg</v>
          </cell>
        </row>
        <row r="1006">
          <cell r="A1006">
            <v>1945</v>
          </cell>
          <cell r="B1006" t="str">
            <v>FÓSFORO DE CERA VIRGEM</v>
          </cell>
          <cell r="C1006" t="str">
            <v>ILIMITADA</v>
          </cell>
          <cell r="D1006" t="str">
            <v>5 kg</v>
          </cell>
        </row>
        <row r="1007">
          <cell r="A1007">
            <v>1950</v>
          </cell>
          <cell r="B1007" t="str">
            <v>AEROSSÓIS</v>
          </cell>
          <cell r="C1007" t="str">
            <v>N.A.</v>
          </cell>
          <cell r="D1007" t="str">
            <v>Ver PE 277</v>
          </cell>
        </row>
        <row r="1008">
          <cell r="A1008">
            <v>1951</v>
          </cell>
          <cell r="B1008" t="str">
            <v>ARGÔNIO, LÍQUIDO REFRIGERADO</v>
          </cell>
          <cell r="C1008">
            <v>1000</v>
          </cell>
          <cell r="D1008" t="str">
            <v>120 ml</v>
          </cell>
        </row>
        <row r="1009">
          <cell r="A1009">
            <v>1952</v>
          </cell>
          <cell r="B1009" t="str">
            <v>MISTURA DE ÓXIDO DE ETILENO E DIÓXIDO DE CARBONO com até 9% de óxido de etileno</v>
          </cell>
          <cell r="C1009">
            <v>1000</v>
          </cell>
          <cell r="D1009" t="str">
            <v>120 ml</v>
          </cell>
        </row>
        <row r="1010">
          <cell r="A1010">
            <v>1953</v>
          </cell>
          <cell r="B1010" t="str">
            <v>GÁS TÓXICO, INFLAMÁVEL, COMPRIMIDO, N.E.</v>
          </cell>
          <cell r="C1010">
            <v>20</v>
          </cell>
          <cell r="D1010" t="str">
            <v>ZERO</v>
          </cell>
        </row>
        <row r="1011">
          <cell r="A1011">
            <v>1954</v>
          </cell>
          <cell r="B1011" t="str">
            <v>GÁS INFLAMÁVEL, COMPRIMIDO, N.E.</v>
          </cell>
          <cell r="C1011">
            <v>333</v>
          </cell>
          <cell r="D1011" t="str">
            <v>ZERO</v>
          </cell>
        </row>
        <row r="1012">
          <cell r="A1012">
            <v>1955</v>
          </cell>
          <cell r="B1012" t="str">
            <v>GÁS TÓXICO, COMPRIMIDO, N.E.</v>
          </cell>
          <cell r="C1012">
            <v>20</v>
          </cell>
          <cell r="D1012" t="str">
            <v>ZERO</v>
          </cell>
        </row>
        <row r="1013">
          <cell r="A1013">
            <v>1956</v>
          </cell>
          <cell r="B1013" t="str">
            <v>GÁS COMPRIMIDO, N.E.</v>
          </cell>
          <cell r="C1013">
            <v>1000</v>
          </cell>
          <cell r="D1013" t="str">
            <v>120 ml</v>
          </cell>
        </row>
        <row r="1014">
          <cell r="A1014">
            <v>1957</v>
          </cell>
          <cell r="B1014" t="str">
            <v>DEUTÉRIO, COMPRIMIDO</v>
          </cell>
          <cell r="C1014">
            <v>333</v>
          </cell>
          <cell r="D1014" t="str">
            <v>ZERO</v>
          </cell>
        </row>
        <row r="1015">
          <cell r="A1015">
            <v>1958</v>
          </cell>
          <cell r="B1015" t="str">
            <v>1,2-DICLORO-1,1,2,2-TETRAFLUORETANO (GÁS REFRIGERANTE R 114)</v>
          </cell>
          <cell r="C1015">
            <v>1000</v>
          </cell>
          <cell r="D1015" t="str">
            <v>120 ml</v>
          </cell>
        </row>
        <row r="1016">
          <cell r="A1016">
            <v>1959</v>
          </cell>
          <cell r="B1016" t="str">
            <v>1,1-DIFLUORETILENO (GÁS REFRIGERANTE R 1132 a)</v>
          </cell>
          <cell r="C1016">
            <v>333</v>
          </cell>
          <cell r="D1016" t="str">
            <v>ZERO</v>
          </cell>
        </row>
        <row r="1017">
          <cell r="A1017">
            <v>1961</v>
          </cell>
          <cell r="B1017" t="str">
            <v>ETANO, LÍQUIDO REFRIGERADO</v>
          </cell>
          <cell r="C1017">
            <v>333</v>
          </cell>
          <cell r="D1017" t="str">
            <v>ZERO</v>
          </cell>
        </row>
        <row r="1018">
          <cell r="A1018">
            <v>1962</v>
          </cell>
          <cell r="B1018" t="str">
            <v>ETILENO</v>
          </cell>
          <cell r="C1018">
            <v>333</v>
          </cell>
          <cell r="D1018" t="str">
            <v>ZERO</v>
          </cell>
        </row>
        <row r="1019">
          <cell r="A1019">
            <v>1963</v>
          </cell>
          <cell r="B1019" t="str">
            <v>HÉLIO, LÍQUIDO REFRIGERADO</v>
          </cell>
          <cell r="C1019">
            <v>1000</v>
          </cell>
          <cell r="D1019" t="str">
            <v>120 ml</v>
          </cell>
        </row>
        <row r="1020">
          <cell r="A1020">
            <v>1964</v>
          </cell>
          <cell r="B1020" t="str">
            <v>MISTURA DE HIDROCARBONETO GASOSO, COMPRIMIDA, N.E.</v>
          </cell>
          <cell r="C1020">
            <v>333</v>
          </cell>
          <cell r="D1020" t="str">
            <v>ZERO</v>
          </cell>
        </row>
        <row r="1021">
          <cell r="A1021">
            <v>1965</v>
          </cell>
          <cell r="B1021" t="str">
            <v>MISTURA DE HIDROCARBONETO GASOSO, LIQUEFEITA, N.E.</v>
          </cell>
          <cell r="C1021">
            <v>333</v>
          </cell>
          <cell r="D1021" t="str">
            <v>ZERO</v>
          </cell>
        </row>
        <row r="1022">
          <cell r="A1022">
            <v>1966</v>
          </cell>
          <cell r="B1022" t="str">
            <v>HIDROGÊNIO, LÍQUIDO REFRIGERADO</v>
          </cell>
          <cell r="C1022">
            <v>333</v>
          </cell>
          <cell r="D1022" t="str">
            <v>ZERO</v>
          </cell>
        </row>
        <row r="1023">
          <cell r="A1023">
            <v>1967</v>
          </cell>
          <cell r="B1023" t="str">
            <v>INSETICIDA, TÓXICO, GASOSO, N.E.</v>
          </cell>
          <cell r="C1023">
            <v>20</v>
          </cell>
          <cell r="D1023" t="str">
            <v>ZERO</v>
          </cell>
        </row>
        <row r="1024">
          <cell r="A1024">
            <v>1968</v>
          </cell>
          <cell r="B1024" t="str">
            <v>INSETICIDA GASOSO, N.E.</v>
          </cell>
          <cell r="C1024">
            <v>1000</v>
          </cell>
          <cell r="D1024" t="str">
            <v>120 ml</v>
          </cell>
        </row>
        <row r="1025">
          <cell r="A1025">
            <v>1969</v>
          </cell>
          <cell r="B1025" t="str">
            <v>ISOBUTANO</v>
          </cell>
          <cell r="C1025">
            <v>333</v>
          </cell>
          <cell r="D1025" t="str">
            <v>ZERO</v>
          </cell>
        </row>
        <row r="1026">
          <cell r="A1026">
            <v>1970</v>
          </cell>
          <cell r="B1026" t="str">
            <v>CRIPTÔNIO, LÍQUIDO REFRIGERADO</v>
          </cell>
          <cell r="C1026">
            <v>1000</v>
          </cell>
          <cell r="D1026" t="str">
            <v>120 ml</v>
          </cell>
        </row>
        <row r="1027">
          <cell r="A1027">
            <v>1971</v>
          </cell>
          <cell r="B1027" t="str">
            <v>METANO, COMPRIMIDO, ou GÁS NATURAL, COMPRIMIDO, com elevado teor de metano</v>
          </cell>
          <cell r="C1027">
            <v>333</v>
          </cell>
          <cell r="D1027" t="str">
            <v>ZERO</v>
          </cell>
        </row>
        <row r="1028">
          <cell r="A1028">
            <v>1972</v>
          </cell>
          <cell r="B1028" t="str">
            <v>METANO, LÍQUIDO REFRIGERADO, ou GÁS NATURAL, LÍQUIDO REFRIGERADO, com alto teor de metano</v>
          </cell>
          <cell r="C1028">
            <v>333</v>
          </cell>
          <cell r="D1028" t="str">
            <v>ZERO</v>
          </cell>
        </row>
        <row r="1029">
          <cell r="A1029">
            <v>1973</v>
          </cell>
          <cell r="B1029" t="str">
            <v>MISTURA  DE  CLORODIFLUORMETANO  E  CLOROPENTA-FLUORETANO  com PE  fixo,  contendo  cerca  de  49%  de clorodifluormetano (GÁS REFRIGERANTE R 502)</v>
          </cell>
          <cell r="C1029">
            <v>1000</v>
          </cell>
          <cell r="D1029" t="str">
            <v>120 ml</v>
          </cell>
        </row>
        <row r="1030">
          <cell r="A1030">
            <v>1974</v>
          </cell>
          <cell r="B1030" t="str">
            <v>CLORODIFLUORBROMOMETANO (GÁS REFRIGERANTE R 12B1)</v>
          </cell>
          <cell r="C1030">
            <v>1000</v>
          </cell>
          <cell r="D1030" t="str">
            <v>120 ml</v>
          </cell>
        </row>
        <row r="1031">
          <cell r="A1031">
            <v>1975</v>
          </cell>
          <cell r="B1031" t="str">
            <v>MISTURA DE ÓXIDO NÍTRICO E TETRÓXIDO DE DINITROGÊNIO (MISTURA DE ÓXIDO NÍTRICO E DIÓXIDO DE NITROGÊNIO)</v>
          </cell>
          <cell r="C1031">
            <v>20</v>
          </cell>
          <cell r="D1031" t="str">
            <v>ZERO</v>
          </cell>
        </row>
        <row r="1032">
          <cell r="A1032">
            <v>1976</v>
          </cell>
          <cell r="B1032" t="str">
            <v>OCTAFLUORCICLOBUTANO (GÁS REFRIGERANTE RC 318)</v>
          </cell>
          <cell r="C1032">
            <v>1000</v>
          </cell>
          <cell r="D1032" t="str">
            <v>120 ml</v>
          </cell>
        </row>
        <row r="1033">
          <cell r="A1033">
            <v>1977</v>
          </cell>
          <cell r="B1033" t="str">
            <v>NITROGÊNIO, LÍQUIDO REFRIGERADO</v>
          </cell>
          <cell r="C1033">
            <v>1000</v>
          </cell>
          <cell r="D1033" t="str">
            <v>120 ml</v>
          </cell>
        </row>
        <row r="1034">
          <cell r="A1034">
            <v>1978</v>
          </cell>
          <cell r="B1034" t="str">
            <v>PROPANO</v>
          </cell>
          <cell r="C1034">
            <v>333</v>
          </cell>
          <cell r="D1034" t="str">
            <v>ZERO</v>
          </cell>
        </row>
        <row r="1035">
          <cell r="A1035">
            <v>1982</v>
          </cell>
          <cell r="B1035" t="str">
            <v>TETRAFLUORMETANO (GÁS REFRIGERANTE R 14)</v>
          </cell>
          <cell r="C1035">
            <v>1000</v>
          </cell>
          <cell r="D1035" t="str">
            <v>120 ml</v>
          </cell>
        </row>
        <row r="1036">
          <cell r="A1036">
            <v>1983</v>
          </cell>
          <cell r="B1036" t="str">
            <v>1-CLORO-2,2,2-TRIFLUORETANO (GÁS REFRIGERANTE R 133 a)</v>
          </cell>
          <cell r="C1036">
            <v>1000</v>
          </cell>
          <cell r="D1036" t="str">
            <v>120 ml</v>
          </cell>
        </row>
        <row r="1037">
          <cell r="A1037">
            <v>1984</v>
          </cell>
          <cell r="B1037" t="str">
            <v>TRIFLUORMETANO (GÁS REFRIGERANTE R 23)</v>
          </cell>
          <cell r="C1037">
            <v>1000</v>
          </cell>
          <cell r="D1037" t="str">
            <v>120 ml</v>
          </cell>
        </row>
        <row r="1038">
          <cell r="A1038">
            <v>1986</v>
          </cell>
          <cell r="B1038" t="str">
            <v>ÁLCOOIS, INFLAMÁVEIS, TÓXICOS, N.E.</v>
          </cell>
          <cell r="C1038">
            <v>20</v>
          </cell>
          <cell r="D1038" t="str">
            <v>1 L</v>
          </cell>
        </row>
        <row r="1039">
          <cell r="A1039">
            <v>1987</v>
          </cell>
          <cell r="B1039" t="str">
            <v>ÁLCOOIS, N.E.</v>
          </cell>
          <cell r="C1039">
            <v>333</v>
          </cell>
          <cell r="D1039" t="str">
            <v>1 L</v>
          </cell>
        </row>
        <row r="1040">
          <cell r="A1040">
            <v>1988</v>
          </cell>
          <cell r="B1040" t="str">
            <v>ALDEÍDOS, INFLAMÁVEIS, TÓXICOS, N.E.</v>
          </cell>
          <cell r="C1040">
            <v>20</v>
          </cell>
          <cell r="D1040" t="str">
            <v>1 L</v>
          </cell>
        </row>
        <row r="1041">
          <cell r="A1041">
            <v>1989</v>
          </cell>
          <cell r="B1041" t="str">
            <v>ALDEÍDOS, N.E.</v>
          </cell>
          <cell r="C1041">
            <v>20</v>
          </cell>
          <cell r="D1041" t="str">
            <v>1 L</v>
          </cell>
        </row>
        <row r="1042">
          <cell r="A1042">
            <v>1990</v>
          </cell>
          <cell r="B1042" t="str">
            <v>BENZALDEÍDO</v>
          </cell>
          <cell r="C1042">
            <v>1000</v>
          </cell>
          <cell r="D1042" t="str">
            <v>5 L</v>
          </cell>
        </row>
        <row r="1043">
          <cell r="A1043">
            <v>1991</v>
          </cell>
          <cell r="B1043" t="str">
            <v>CLOROPRENO, ESTABILIZADO</v>
          </cell>
          <cell r="C1043">
            <v>20</v>
          </cell>
          <cell r="D1043" t="str">
            <v>ZERO</v>
          </cell>
        </row>
        <row r="1044">
          <cell r="A1044">
            <v>1992</v>
          </cell>
          <cell r="B1044" t="str">
            <v>LÍQUIDO INFLAMÁVEL, TÓXICO, N.E.</v>
          </cell>
          <cell r="C1044">
            <v>20</v>
          </cell>
          <cell r="D1044" t="str">
            <v>1 L</v>
          </cell>
        </row>
        <row r="1045">
          <cell r="A1045">
            <v>1993</v>
          </cell>
          <cell r="B1045" t="str">
            <v>LÍQUIDO INFLAMÁVEL, N.E.</v>
          </cell>
          <cell r="C1045">
            <v>20</v>
          </cell>
          <cell r="D1045" t="str">
            <v>1 L</v>
          </cell>
        </row>
        <row r="1046">
          <cell r="A1046">
            <v>1994</v>
          </cell>
          <cell r="B1046" t="str">
            <v>FERROPENTACARBONILA</v>
          </cell>
          <cell r="C1046">
            <v>20</v>
          </cell>
          <cell r="D1046" t="str">
            <v>ZERO</v>
          </cell>
        </row>
        <row r="1047">
          <cell r="A1047">
            <v>1999</v>
          </cell>
          <cell r="B1047" t="str">
            <v>ALCATRÕES LÍQUIDOS, inclusive asfalto, óleos, betumes e cut backs rodoviários</v>
          </cell>
          <cell r="C1047">
            <v>333</v>
          </cell>
          <cell r="D1047" t="str">
            <v>5 L</v>
          </cell>
        </row>
        <row r="1048">
          <cell r="A1048">
            <v>2000</v>
          </cell>
          <cell r="B1048" t="str">
            <v>CELULÓIDE, em blocos, barras, cilindros, folhas, tubos etc, exceto refugos</v>
          </cell>
          <cell r="C1048">
            <v>1000</v>
          </cell>
          <cell r="D1048" t="str">
            <v>5 kg</v>
          </cell>
        </row>
        <row r="1049">
          <cell r="A1049">
            <v>2001</v>
          </cell>
          <cell r="B1049" t="str">
            <v>NAFTENATOS DE COBALTO, EM PÓ</v>
          </cell>
          <cell r="C1049">
            <v>1000</v>
          </cell>
          <cell r="D1049" t="str">
            <v>5 kg</v>
          </cell>
        </row>
        <row r="1050">
          <cell r="A1050">
            <v>2002</v>
          </cell>
          <cell r="B1050" t="str">
            <v>CELULÓIDE, REFUGOS</v>
          </cell>
          <cell r="C1050">
            <v>1000</v>
          </cell>
          <cell r="D1050" t="str">
            <v>ZERO</v>
          </cell>
        </row>
        <row r="1051">
          <cell r="A1051">
            <v>2004</v>
          </cell>
          <cell r="B1051" t="str">
            <v>MAGNESIODIAMIDA</v>
          </cell>
          <cell r="C1051">
            <v>333</v>
          </cell>
          <cell r="D1051" t="str">
            <v>ZERO</v>
          </cell>
        </row>
        <row r="1052">
          <cell r="A1052">
            <v>2006</v>
          </cell>
          <cell r="B1052" t="str">
            <v>PLÁSTICOS, À BASE DE NITROCELULOSE, SUJEITOS A AUTOAQUECIMENTO, N.E.</v>
          </cell>
          <cell r="C1052">
            <v>1000</v>
          </cell>
          <cell r="D1052" t="str">
            <v>ZERO</v>
          </cell>
        </row>
        <row r="1053">
          <cell r="A1053">
            <v>2008</v>
          </cell>
          <cell r="B1053" t="str">
            <v>ZIRCÔNIO EM PÓ, SECO</v>
          </cell>
          <cell r="C1053" t="str">
            <v>ZERO</v>
          </cell>
          <cell r="D1053" t="str">
            <v>ZERO</v>
          </cell>
        </row>
        <row r="1054">
          <cell r="A1054">
            <v>2009</v>
          </cell>
          <cell r="B1054" t="str">
            <v>ZIRCÔNIO, SECO, chapas acabadas, tiras ou bobinas de arame</v>
          </cell>
          <cell r="C1054">
            <v>1000</v>
          </cell>
          <cell r="D1054" t="str">
            <v>ZERO</v>
          </cell>
        </row>
        <row r="1055">
          <cell r="A1055">
            <v>2010</v>
          </cell>
          <cell r="B1055" t="str">
            <v>HIDRETO DE MAGNÉSIO</v>
          </cell>
          <cell r="C1055">
            <v>20</v>
          </cell>
          <cell r="D1055" t="str">
            <v>ZERO</v>
          </cell>
        </row>
        <row r="1056">
          <cell r="A1056">
            <v>2011</v>
          </cell>
          <cell r="B1056" t="str">
            <v>FOSFETO DE MAGNÉSIO</v>
          </cell>
          <cell r="C1056">
            <v>20</v>
          </cell>
          <cell r="D1056" t="str">
            <v>ZERO</v>
          </cell>
        </row>
        <row r="1057">
          <cell r="A1057">
            <v>2012</v>
          </cell>
          <cell r="B1057" t="str">
            <v>FOSFETO DE POTÁSSIO</v>
          </cell>
          <cell r="C1057">
            <v>20</v>
          </cell>
          <cell r="D1057" t="str">
            <v>ZERO</v>
          </cell>
        </row>
        <row r="1058">
          <cell r="A1058">
            <v>2013</v>
          </cell>
          <cell r="B1058" t="str">
            <v>FOSFETO DE ESTRÔNCIO</v>
          </cell>
          <cell r="C1058">
            <v>20</v>
          </cell>
          <cell r="D1058" t="str">
            <v>ZERO</v>
          </cell>
        </row>
        <row r="1059">
          <cell r="A1059">
            <v>2014</v>
          </cell>
          <cell r="B1059" t="str">
            <v>PERÓXIDO DE HIDROGÊNIO, SOLUÇÃO AQUOSA, com não menos de 20%, porém não mais que 60% de peróxido de hidrogênio (estabilizada se necessário)</v>
          </cell>
          <cell r="C1059">
            <v>333</v>
          </cell>
          <cell r="D1059" t="str">
            <v>1 L</v>
          </cell>
        </row>
        <row r="1060">
          <cell r="A1060">
            <v>2015</v>
          </cell>
          <cell r="B1060" t="str">
            <v>PERÓXIDO    DE    HIDROGÊNIO,    ESTABILIZADO    ou    PERÓXIDO    DE    HIDROGÊNIO,    SOLUÇÃO    AQUOSA,</v>
          </cell>
        </row>
        <row r="1061">
          <cell r="A1061">
            <v>2016</v>
          </cell>
          <cell r="B1061" t="str">
            <v>MUNIÇÃO TÓXICA, NÃO-EXPLOSIVA, sem ruptor ou carga ejetora, sem espoleta</v>
          </cell>
          <cell r="C1061">
            <v>333</v>
          </cell>
          <cell r="D1061" t="str">
            <v>ZERO</v>
          </cell>
        </row>
        <row r="1062">
          <cell r="A1062">
            <v>2017</v>
          </cell>
          <cell r="B1062" t="str">
            <v>MUNIÇÃO LACRIMOGÊNEA, NÃO-EXPLOSIVA, sem ruptor ou carga ejetora, sem espoleta</v>
          </cell>
          <cell r="C1062">
            <v>333</v>
          </cell>
          <cell r="D1062" t="str">
            <v>ZERO</v>
          </cell>
        </row>
        <row r="1063">
          <cell r="A1063">
            <v>2018</v>
          </cell>
          <cell r="B1063" t="str">
            <v>CLOROANILINAS, SÓLIDAS</v>
          </cell>
          <cell r="C1063">
            <v>333</v>
          </cell>
          <cell r="D1063" t="str">
            <v>500 g</v>
          </cell>
        </row>
        <row r="1064">
          <cell r="A1064">
            <v>2019</v>
          </cell>
          <cell r="B1064" t="str">
            <v>CLOROANILINAS, LÍQUIDAS</v>
          </cell>
          <cell r="C1064">
            <v>333</v>
          </cell>
          <cell r="D1064" t="str">
            <v>100 ml</v>
          </cell>
        </row>
        <row r="1065">
          <cell r="A1065">
            <v>2020</v>
          </cell>
          <cell r="B1065" t="str">
            <v>CLOROFENÓIS, SÓLIDOS</v>
          </cell>
          <cell r="C1065">
            <v>333</v>
          </cell>
          <cell r="D1065" t="str">
            <v>5 kg</v>
          </cell>
        </row>
        <row r="1066">
          <cell r="A1066">
            <v>2021</v>
          </cell>
          <cell r="B1066" t="str">
            <v>CLOROFENÓIS, LÍQUIDOS</v>
          </cell>
          <cell r="C1066">
            <v>333</v>
          </cell>
          <cell r="D1066" t="str">
            <v>5 L</v>
          </cell>
        </row>
        <row r="1067">
          <cell r="A1067">
            <v>2022</v>
          </cell>
          <cell r="B1067" t="str">
            <v>ÁCIDO CRESÍLICO</v>
          </cell>
          <cell r="C1067">
            <v>333</v>
          </cell>
          <cell r="D1067" t="str">
            <v>100 ml</v>
          </cell>
        </row>
        <row r="1068">
          <cell r="A1068">
            <v>2023</v>
          </cell>
          <cell r="B1068" t="str">
            <v>EPICLORIDRINA</v>
          </cell>
          <cell r="C1068">
            <v>333</v>
          </cell>
          <cell r="D1068" t="str">
            <v>100 ml</v>
          </cell>
        </row>
        <row r="1069">
          <cell r="A1069">
            <v>2024</v>
          </cell>
          <cell r="B1069" t="str">
            <v>MERCÚRIO COMPOSTO, LÍQUIDO, N.E.</v>
          </cell>
          <cell r="C1069">
            <v>20</v>
          </cell>
          <cell r="D1069" t="str">
            <v>100 ml</v>
          </cell>
        </row>
        <row r="1070">
          <cell r="A1070">
            <v>2025</v>
          </cell>
          <cell r="B1070" t="str">
            <v>MERCÚRIO COMPOSTO, SÓLIDO, N.E.</v>
          </cell>
          <cell r="C1070">
            <v>20</v>
          </cell>
          <cell r="D1070" t="str">
            <v>5 kg</v>
          </cell>
        </row>
        <row r="1071">
          <cell r="A1071">
            <v>2026</v>
          </cell>
          <cell r="B1071" t="str">
            <v>FENILMERCÚRIO COMPOSTO, N.E.</v>
          </cell>
          <cell r="C1071">
            <v>20</v>
          </cell>
          <cell r="D1071" t="str">
            <v>5 kg</v>
          </cell>
        </row>
        <row r="1072">
          <cell r="A1072">
            <v>2027</v>
          </cell>
          <cell r="B1072" t="str">
            <v>ARSENITO DE SÓDIO, SÓLIDO</v>
          </cell>
          <cell r="C1072">
            <v>333</v>
          </cell>
          <cell r="D1072" t="str">
            <v>500 g</v>
          </cell>
        </row>
        <row r="1073">
          <cell r="A1073">
            <v>2028</v>
          </cell>
          <cell r="B1073" t="str">
            <v>BOMBAS, FUMÍGENAS, NÃO-EXPLOSIVAS, com líquido corrosivo, sem dispositivo iniciador</v>
          </cell>
          <cell r="C1073">
            <v>333</v>
          </cell>
          <cell r="D1073" t="str">
            <v>ZERO</v>
          </cell>
        </row>
        <row r="1074">
          <cell r="A1074">
            <v>2029</v>
          </cell>
          <cell r="B1074" t="str">
            <v>HIDRAZINA, ANIDRA</v>
          </cell>
          <cell r="C1074">
            <v>20</v>
          </cell>
          <cell r="D1074" t="str">
            <v>ZERO</v>
          </cell>
        </row>
        <row r="1075">
          <cell r="A1075">
            <v>2030</v>
          </cell>
          <cell r="B1075" t="str">
            <v>HIDRAZINA SOLUÇÃO AQUOSA com mais de 37% de hidrazina, em massa</v>
          </cell>
          <cell r="C1075">
            <v>20</v>
          </cell>
          <cell r="D1075" t="str">
            <v>1 L</v>
          </cell>
        </row>
        <row r="1076">
          <cell r="A1076">
            <v>2031</v>
          </cell>
          <cell r="B1076" t="str">
            <v>ÁCIDO NÍTRICO, exceto vermelho fumegante, com mais de 70% de ácido nítrico</v>
          </cell>
          <cell r="C1076">
            <v>20</v>
          </cell>
          <cell r="D1076" t="str">
            <v>ZERO</v>
          </cell>
        </row>
        <row r="1077">
          <cell r="A1077">
            <v>2031</v>
          </cell>
          <cell r="B1077" t="str">
            <v>ÁCIDO NÍTRICO, exceto vermelho fumegante, com menos de 65% de ácido nítrico</v>
          </cell>
          <cell r="C1077">
            <v>333</v>
          </cell>
          <cell r="D1077" t="str">
            <v>1 L</v>
          </cell>
        </row>
        <row r="1078">
          <cell r="A1078">
            <v>2031</v>
          </cell>
          <cell r="B1078" t="str">
            <v>ÁCIDO NÍTRICO, exceto vermelho fumegante, com pelo menos 65% de ácido nítrico, mas não mais que 70%</v>
          </cell>
          <cell r="C1078">
            <v>333</v>
          </cell>
          <cell r="D1078" t="str">
            <v>1 L</v>
          </cell>
        </row>
        <row r="1079">
          <cell r="A1079">
            <v>2032</v>
          </cell>
          <cell r="B1079" t="str">
            <v>ÁCIDO NÍTRICO, VERMELHO FUMEGANTE</v>
          </cell>
          <cell r="C1079">
            <v>20</v>
          </cell>
          <cell r="D1079" t="str">
            <v>ZERO</v>
          </cell>
        </row>
        <row r="1080">
          <cell r="A1080">
            <v>2033</v>
          </cell>
          <cell r="B1080" t="str">
            <v>MONÓXIDO DE POTÁSSIO</v>
          </cell>
          <cell r="C1080">
            <v>333</v>
          </cell>
          <cell r="D1080" t="str">
            <v>1 kg</v>
          </cell>
        </row>
        <row r="1081">
          <cell r="A1081">
            <v>2034</v>
          </cell>
          <cell r="B1081" t="str">
            <v>MISTURA DE HIDROGÊNIO E METANO, COMPRIMIDA</v>
          </cell>
          <cell r="C1081">
            <v>333</v>
          </cell>
          <cell r="D1081" t="str">
            <v>ZERO</v>
          </cell>
        </row>
        <row r="1082">
          <cell r="A1082">
            <v>2035</v>
          </cell>
          <cell r="B1082" t="str">
            <v>1,1,1-TRIFLUORETANO (GÁS REFRIGERANTE R 143 a)</v>
          </cell>
          <cell r="C1082">
            <v>333</v>
          </cell>
          <cell r="D1082" t="str">
            <v>ZERO</v>
          </cell>
        </row>
        <row r="1083">
          <cell r="A1083">
            <v>2036</v>
          </cell>
          <cell r="B1083" t="str">
            <v>XENÔNIO</v>
          </cell>
          <cell r="C1083">
            <v>1000</v>
          </cell>
          <cell r="D1083" t="str">
            <v>120 ml</v>
          </cell>
        </row>
        <row r="1084">
          <cell r="A1084">
            <v>2037</v>
          </cell>
          <cell r="B1084" t="str">
            <v>GÁS EM PEQUENOS RECIPIENTES (CARTUCHOS DE GÁS), não-recarregáveis, sem difusor</v>
          </cell>
          <cell r="D1084" t="str">
            <v>Ver PE 277</v>
          </cell>
        </row>
        <row r="1085">
          <cell r="A1085">
            <v>2038</v>
          </cell>
          <cell r="B1085" t="str">
            <v>DINITROTOLUENOS, LÍQUIDOS</v>
          </cell>
          <cell r="C1085">
            <v>333</v>
          </cell>
          <cell r="D1085" t="str">
            <v>100 ml</v>
          </cell>
        </row>
        <row r="1086">
          <cell r="A1086">
            <v>2044</v>
          </cell>
          <cell r="B1086" t="str">
            <v>2,2-DIMETILPROPANO</v>
          </cell>
          <cell r="C1086">
            <v>333</v>
          </cell>
          <cell r="D1086" t="str">
            <v>ZERO</v>
          </cell>
        </row>
        <row r="1087">
          <cell r="A1087">
            <v>2045</v>
          </cell>
          <cell r="B1087" t="str">
            <v>ISOBUTIRALDEÍDO (ALDEÍDO ISOBUTÍLICO)</v>
          </cell>
          <cell r="C1087">
            <v>333</v>
          </cell>
          <cell r="D1087" t="str">
            <v>1 L</v>
          </cell>
        </row>
        <row r="1088">
          <cell r="A1088">
            <v>2046</v>
          </cell>
          <cell r="B1088" t="str">
            <v>CIMENOS</v>
          </cell>
          <cell r="C1088">
            <v>1000</v>
          </cell>
          <cell r="D1088" t="str">
            <v>5 L</v>
          </cell>
        </row>
        <row r="1089">
          <cell r="A1089">
            <v>2047</v>
          </cell>
          <cell r="B1089" t="str">
            <v>DICLOROPROPENOS</v>
          </cell>
          <cell r="C1089">
            <v>333</v>
          </cell>
          <cell r="D1089" t="str">
            <v>1 L</v>
          </cell>
        </row>
        <row r="1090">
          <cell r="A1090">
            <v>2048</v>
          </cell>
          <cell r="B1090" t="str">
            <v>DICICLOPENTADIENO</v>
          </cell>
          <cell r="C1090">
            <v>1000</v>
          </cell>
          <cell r="D1090" t="str">
            <v>5 L</v>
          </cell>
        </row>
        <row r="1091">
          <cell r="A1091">
            <v>2049</v>
          </cell>
          <cell r="B1091" t="str">
            <v>DIETILBENZENO</v>
          </cell>
          <cell r="C1091">
            <v>1000</v>
          </cell>
          <cell r="D1091" t="str">
            <v>5 L</v>
          </cell>
        </row>
        <row r="1092">
          <cell r="A1092">
            <v>2050</v>
          </cell>
          <cell r="B1092" t="str">
            <v>DIISOBUTILENO, COMPOSTOS ISOMÉRICOS</v>
          </cell>
          <cell r="C1092">
            <v>333</v>
          </cell>
          <cell r="D1092" t="str">
            <v>1 L</v>
          </cell>
        </row>
        <row r="1093">
          <cell r="A1093">
            <v>2051</v>
          </cell>
          <cell r="B1093" t="str">
            <v>2-DIMETILAMINOETANOL</v>
          </cell>
          <cell r="C1093">
            <v>333</v>
          </cell>
          <cell r="D1093" t="str">
            <v>1 L</v>
          </cell>
        </row>
        <row r="1094">
          <cell r="A1094">
            <v>2052</v>
          </cell>
          <cell r="B1094" t="str">
            <v>DIPENTENO</v>
          </cell>
          <cell r="C1094">
            <v>1000</v>
          </cell>
          <cell r="D1094" t="str">
            <v>5 L</v>
          </cell>
        </row>
        <row r="1095">
          <cell r="A1095">
            <v>2053</v>
          </cell>
          <cell r="B1095" t="str">
            <v>METILISOBUTILCARBINOL</v>
          </cell>
          <cell r="C1095">
            <v>1000</v>
          </cell>
          <cell r="D1095" t="str">
            <v>5 L</v>
          </cell>
        </row>
        <row r="1096">
          <cell r="A1096">
            <v>2054</v>
          </cell>
          <cell r="B1096" t="str">
            <v>MORFOLINA</v>
          </cell>
          <cell r="C1096">
            <v>20</v>
          </cell>
          <cell r="D1096" t="str">
            <v>ZERO</v>
          </cell>
        </row>
        <row r="1097">
          <cell r="A1097">
            <v>2055</v>
          </cell>
          <cell r="B1097" t="str">
            <v>ESTIRENO MONÔMERO, ESTABILIZADO</v>
          </cell>
          <cell r="C1097">
            <v>1000</v>
          </cell>
          <cell r="D1097" t="str">
            <v>5 L</v>
          </cell>
        </row>
        <row r="1098">
          <cell r="A1098">
            <v>2056</v>
          </cell>
          <cell r="B1098" t="str">
            <v>TETRA-HIDROFURANO</v>
          </cell>
          <cell r="C1098">
            <v>333</v>
          </cell>
          <cell r="D1098" t="str">
            <v>1 L</v>
          </cell>
        </row>
        <row r="1099">
          <cell r="A1099">
            <v>2057</v>
          </cell>
          <cell r="B1099" t="str">
            <v>TRIPROPILENO</v>
          </cell>
          <cell r="C1099">
            <v>333</v>
          </cell>
          <cell r="D1099" t="str">
            <v>1 L</v>
          </cell>
        </row>
        <row r="1100">
          <cell r="A1100">
            <v>2058</v>
          </cell>
          <cell r="B1100" t="str">
            <v>VALERALDEÍDO</v>
          </cell>
          <cell r="C1100">
            <v>333</v>
          </cell>
          <cell r="D1100" t="str">
            <v>1 L</v>
          </cell>
        </row>
        <row r="1101">
          <cell r="A1101">
            <v>2059</v>
          </cell>
          <cell r="B1101" t="str">
            <v>NITROCELULOSE SOLUÇÃO, INFLAMÁVEL, com até 12,6% de nitrogênio, em massa, e até 55% de nitrocelulose</v>
          </cell>
          <cell r="C1101">
            <v>20</v>
          </cell>
          <cell r="D1101" t="str">
            <v>1 L</v>
          </cell>
        </row>
        <row r="1102">
          <cell r="A1102">
            <v>2067</v>
          </cell>
          <cell r="B1102" t="str">
            <v>NITRATO DE AMÔNIO, FERTILIZANTES</v>
          </cell>
          <cell r="C1102">
            <v>1000</v>
          </cell>
          <cell r="D1102" t="str">
            <v>5 kg</v>
          </cell>
        </row>
        <row r="1103">
          <cell r="A1103">
            <v>2071</v>
          </cell>
          <cell r="B1103" t="str">
            <v>NITRATO DE AMÔNIO, FERTILIZANTES</v>
          </cell>
          <cell r="C1103">
            <v>333</v>
          </cell>
          <cell r="D1103" t="str">
            <v>5 kg</v>
          </cell>
        </row>
        <row r="1104">
          <cell r="A1104">
            <v>2073</v>
          </cell>
          <cell r="B1104" t="str">
            <v>AMÔNIA SOLUÇÃO aquosa, com densidade relativa inferior a 0,880 a 15ºC, com mais de 35% e até 50% de amônia</v>
          </cell>
          <cell r="C1104">
            <v>1000</v>
          </cell>
          <cell r="D1104" t="str">
            <v>120 ml</v>
          </cell>
        </row>
        <row r="1105">
          <cell r="A1105">
            <v>2074</v>
          </cell>
          <cell r="B1105" t="str">
            <v>ACRILAMIDA, SÓLIDA</v>
          </cell>
          <cell r="C1105">
            <v>333</v>
          </cell>
          <cell r="D1105" t="str">
            <v>5 kg</v>
          </cell>
        </row>
        <row r="1106">
          <cell r="A1106">
            <v>2075</v>
          </cell>
          <cell r="B1106" t="str">
            <v>CLORAL, ANIDRO, ESTABILIZADO</v>
          </cell>
          <cell r="C1106">
            <v>333</v>
          </cell>
          <cell r="D1106" t="str">
            <v>100 ml</v>
          </cell>
        </row>
        <row r="1107">
          <cell r="A1107">
            <v>2076</v>
          </cell>
          <cell r="B1107" t="str">
            <v>CRESÓIS, LÍQUIDOS</v>
          </cell>
          <cell r="C1107">
            <v>333</v>
          </cell>
          <cell r="D1107" t="str">
            <v>100 ml</v>
          </cell>
        </row>
        <row r="1108">
          <cell r="A1108">
            <v>2077</v>
          </cell>
          <cell r="B1108" t="str">
            <v>alfa-NAFTILAMINA</v>
          </cell>
          <cell r="C1108">
            <v>333</v>
          </cell>
          <cell r="D1108" t="str">
            <v>5 kg</v>
          </cell>
        </row>
        <row r="1109">
          <cell r="A1109">
            <v>2078</v>
          </cell>
          <cell r="B1109" t="str">
            <v>DIISOCIANATO DE TOLUENO</v>
          </cell>
          <cell r="C1109">
            <v>333</v>
          </cell>
          <cell r="D1109" t="str">
            <v>100 ml</v>
          </cell>
        </row>
        <row r="1110">
          <cell r="A1110">
            <v>2079</v>
          </cell>
          <cell r="B1110" t="str">
            <v>DIETILENOTRIAMINA</v>
          </cell>
          <cell r="C1110">
            <v>333</v>
          </cell>
          <cell r="D1110" t="str">
            <v>1 L</v>
          </cell>
        </row>
        <row r="1111">
          <cell r="A1111">
            <v>2186</v>
          </cell>
          <cell r="B1111" t="str">
            <v>CLORETO DE HIDROGÊNIO, LÍQUIDO REFRIGERADO</v>
          </cell>
          <cell r="C1111" t="str">
            <v>ZERO</v>
          </cell>
          <cell r="D1111" t="str">
            <v>ZERO</v>
          </cell>
        </row>
        <row r="1112">
          <cell r="A1112">
            <v>2187</v>
          </cell>
          <cell r="B1112" t="str">
            <v>DIÓXIDO DE CARBONO, LÍQUIDO REFRIGERADO</v>
          </cell>
          <cell r="C1112">
            <v>1000</v>
          </cell>
          <cell r="D1112" t="str">
            <v>120 ml</v>
          </cell>
        </row>
        <row r="1113">
          <cell r="A1113">
            <v>2188</v>
          </cell>
          <cell r="B1113" t="str">
            <v>ARSINA</v>
          </cell>
          <cell r="C1113">
            <v>20</v>
          </cell>
          <cell r="D1113" t="str">
            <v>ZERO</v>
          </cell>
        </row>
        <row r="1114">
          <cell r="A1114">
            <v>2189</v>
          </cell>
          <cell r="B1114" t="str">
            <v>DICLOROSSILANO</v>
          </cell>
          <cell r="C1114">
            <v>20</v>
          </cell>
          <cell r="D1114" t="str">
            <v>ZERO</v>
          </cell>
        </row>
        <row r="1115">
          <cell r="A1115">
            <v>2190</v>
          </cell>
          <cell r="B1115" t="str">
            <v>DIFLUORETO DE OXIGÊNIO, COMPRIMIDO</v>
          </cell>
          <cell r="C1115">
            <v>20</v>
          </cell>
          <cell r="D1115" t="str">
            <v>ZERO</v>
          </cell>
        </row>
        <row r="1116">
          <cell r="A1116">
            <v>2191</v>
          </cell>
          <cell r="B1116" t="str">
            <v>FLUORETO DE SULFURILA</v>
          </cell>
          <cell r="C1116">
            <v>20</v>
          </cell>
          <cell r="D1116" t="str">
            <v>ZERO</v>
          </cell>
        </row>
        <row r="1117">
          <cell r="A1117">
            <v>2192</v>
          </cell>
          <cell r="B1117" t="str">
            <v>GERMÂNIO</v>
          </cell>
          <cell r="C1117">
            <v>20</v>
          </cell>
          <cell r="D1117" t="str">
            <v>ZERO</v>
          </cell>
        </row>
        <row r="1118">
          <cell r="A1118">
            <v>2193</v>
          </cell>
          <cell r="B1118" t="str">
            <v>HEXAFLUORETANO (GÁS REFRIGERANTE R 116)</v>
          </cell>
          <cell r="C1118">
            <v>1000</v>
          </cell>
          <cell r="D1118" t="str">
            <v>120 ml</v>
          </cell>
        </row>
        <row r="1119">
          <cell r="A1119">
            <v>2194</v>
          </cell>
          <cell r="B1119" t="str">
            <v>HEXAFLUORETO DE SELÊNIO</v>
          </cell>
          <cell r="C1119">
            <v>20</v>
          </cell>
          <cell r="D1119" t="str">
            <v>ZERO</v>
          </cell>
        </row>
        <row r="1120">
          <cell r="A1120">
            <v>2195</v>
          </cell>
          <cell r="B1120" t="str">
            <v>HEXAFLUORETO DE TELÚRIO</v>
          </cell>
          <cell r="C1120">
            <v>20</v>
          </cell>
          <cell r="D1120" t="str">
            <v>ZERO</v>
          </cell>
        </row>
        <row r="1121">
          <cell r="A1121">
            <v>2196</v>
          </cell>
          <cell r="B1121" t="str">
            <v>HEXAFLUORETO DE TUNGSTÊNIO</v>
          </cell>
          <cell r="C1121">
            <v>20</v>
          </cell>
          <cell r="D1121" t="str">
            <v>ZERO</v>
          </cell>
        </row>
        <row r="1122">
          <cell r="A1122">
            <v>2197</v>
          </cell>
          <cell r="B1122" t="str">
            <v>IODETO DE HIDROGÊNIO, ANIDRO</v>
          </cell>
          <cell r="C1122">
            <v>20</v>
          </cell>
          <cell r="D1122" t="str">
            <v>ZERO</v>
          </cell>
        </row>
        <row r="1123">
          <cell r="A1123">
            <v>2198</v>
          </cell>
          <cell r="B1123" t="str">
            <v>PENTAFLUORETO DE FÓSFORO</v>
          </cell>
          <cell r="C1123">
            <v>20</v>
          </cell>
          <cell r="D1123" t="str">
            <v>ZERO</v>
          </cell>
        </row>
        <row r="1124">
          <cell r="A1124">
            <v>2199</v>
          </cell>
          <cell r="B1124" t="str">
            <v>FOSFINA</v>
          </cell>
          <cell r="C1124">
            <v>20</v>
          </cell>
          <cell r="D1124" t="str">
            <v>ZERO</v>
          </cell>
        </row>
        <row r="1125">
          <cell r="A1125">
            <v>2200</v>
          </cell>
          <cell r="B1125" t="str">
            <v>PROPADIENO, ESTABILIZADO</v>
          </cell>
          <cell r="C1125">
            <v>333</v>
          </cell>
          <cell r="D1125" t="str">
            <v>ZERO</v>
          </cell>
        </row>
        <row r="1126">
          <cell r="A1126">
            <v>2201</v>
          </cell>
          <cell r="B1126" t="str">
            <v>ÓXIDO NITROSO, LÍQUIDO REFRIGERADO</v>
          </cell>
          <cell r="C1126">
            <v>1000</v>
          </cell>
          <cell r="D1126" t="str">
            <v>ZERO</v>
          </cell>
        </row>
        <row r="1127">
          <cell r="A1127">
            <v>2202</v>
          </cell>
          <cell r="B1127" t="str">
            <v>SELENIETO DE HIDROGÊNIO, ANIDRO</v>
          </cell>
          <cell r="C1127">
            <v>20</v>
          </cell>
          <cell r="D1127" t="str">
            <v>ZERO</v>
          </cell>
        </row>
        <row r="1128">
          <cell r="A1128">
            <v>2203</v>
          </cell>
          <cell r="B1128" t="str">
            <v>SILANO</v>
          </cell>
          <cell r="C1128">
            <v>333</v>
          </cell>
          <cell r="D1128" t="str">
            <v>ZERO</v>
          </cell>
        </row>
        <row r="1129">
          <cell r="A1129">
            <v>2204</v>
          </cell>
          <cell r="B1129" t="str">
            <v>SULFETO DE CARBONILA</v>
          </cell>
          <cell r="C1129">
            <v>20</v>
          </cell>
          <cell r="D1129" t="str">
            <v>ZERO</v>
          </cell>
        </row>
        <row r="1130">
          <cell r="A1130">
            <v>2205</v>
          </cell>
          <cell r="B1130" t="str">
            <v>ADIPONITRILA</v>
          </cell>
          <cell r="C1130">
            <v>333</v>
          </cell>
          <cell r="D1130" t="str">
            <v>5 L</v>
          </cell>
        </row>
        <row r="1131">
          <cell r="A1131">
            <v>2206</v>
          </cell>
          <cell r="B1131" t="str">
            <v>ISOCIANATOS, TÓXICOS, N.E. ou SOLUÇÃO DE ISOCIANATOS, TÓXICA, N.E.</v>
          </cell>
          <cell r="C1131">
            <v>333</v>
          </cell>
          <cell r="D1131" t="str">
            <v>100 ml</v>
          </cell>
        </row>
        <row r="1132">
          <cell r="A1132">
            <v>2208</v>
          </cell>
          <cell r="B1132" t="str">
            <v>MISTURA DE HIPOCLORITO DE CÁLCIO, SECA, com mais de 10% e até 39% de cloro livre</v>
          </cell>
          <cell r="C1132">
            <v>1000</v>
          </cell>
          <cell r="D1132" t="str">
            <v>5 kg</v>
          </cell>
        </row>
        <row r="1133">
          <cell r="A1133">
            <v>2209</v>
          </cell>
          <cell r="B1133" t="str">
            <v>FORMALDEÍDO SOLUÇÃO com no mínimo 25% de formaldeído</v>
          </cell>
          <cell r="C1133">
            <v>1000</v>
          </cell>
          <cell r="D1133" t="str">
            <v>5 L</v>
          </cell>
        </row>
        <row r="1134">
          <cell r="A1134">
            <v>2210</v>
          </cell>
          <cell r="B1134" t="str">
            <v>MANEB ou PREPARAÇÃO DE MANEB com 60% ou mais de maneb</v>
          </cell>
          <cell r="C1134">
            <v>1000</v>
          </cell>
          <cell r="D1134" t="str">
            <v>ZERO</v>
          </cell>
        </row>
        <row r="1135">
          <cell r="A1135">
            <v>2211</v>
          </cell>
          <cell r="B1135" t="str">
            <v>POLÍMEROS GRANULADOS, EXPANSÍVEIS, que desprendem vapores inflamáveis</v>
          </cell>
          <cell r="C1135">
            <v>1000</v>
          </cell>
          <cell r="D1135" t="str">
            <v>5 kg</v>
          </cell>
        </row>
        <row r="1136">
          <cell r="A1136">
            <v>2212</v>
          </cell>
          <cell r="B1136" t="str">
            <v>AMIANTOS, ANFIBÓLICO (amosita, tremolita, actinólito antofilita, crocidolita)</v>
          </cell>
          <cell r="C1136">
            <v>333</v>
          </cell>
          <cell r="D1136" t="str">
            <v>1 kg</v>
          </cell>
        </row>
        <row r="1137">
          <cell r="A1137">
            <v>2213</v>
          </cell>
          <cell r="B1137" t="str">
            <v>PARAFORMALDEÍDO</v>
          </cell>
          <cell r="C1137">
            <v>1000</v>
          </cell>
          <cell r="D1137" t="str">
            <v>5 kg</v>
          </cell>
        </row>
        <row r="1138">
          <cell r="A1138">
            <v>2214</v>
          </cell>
          <cell r="B1138" t="str">
            <v>ANIDRIDO FTÁLICO com mais de 0,05% de anidrido maléico</v>
          </cell>
          <cell r="C1138">
            <v>1000</v>
          </cell>
          <cell r="D1138" t="str">
            <v>5 kg</v>
          </cell>
        </row>
        <row r="1139">
          <cell r="A1139">
            <v>2215</v>
          </cell>
          <cell r="B1139" t="str">
            <v>ANIDRIDO MALÉICO, FUNDIDO</v>
          </cell>
          <cell r="C1139" t="str">
            <v>ZERO</v>
          </cell>
          <cell r="D1139" t="str">
            <v>ZERO</v>
          </cell>
        </row>
        <row r="1140">
          <cell r="A1140">
            <v>2215</v>
          </cell>
          <cell r="B1140" t="str">
            <v>ANIDRIDO MALÉICO</v>
          </cell>
          <cell r="C1140">
            <v>1000</v>
          </cell>
          <cell r="D1140" t="str">
            <v>5 kg</v>
          </cell>
        </row>
        <row r="1141">
          <cell r="A1141">
            <v>2216</v>
          </cell>
          <cell r="B1141" t="str">
            <v>FARINHA DE PEIXE (RESTOS DE PEIXE), ESTABILIZADA</v>
          </cell>
          <cell r="C1141" t="str">
            <v>ZERO</v>
          </cell>
          <cell r="D1141" t="str">
            <v>ZERO</v>
          </cell>
        </row>
        <row r="1142">
          <cell r="A1142">
            <v>2217</v>
          </cell>
          <cell r="B1142" t="str">
            <v>TORTA OLEAGINOSA com até 1,5% de óleo e até 11% de umidade</v>
          </cell>
          <cell r="C1142">
            <v>1000</v>
          </cell>
          <cell r="D1142" t="str">
            <v>ZERO</v>
          </cell>
        </row>
        <row r="1143">
          <cell r="A1143">
            <v>2218</v>
          </cell>
          <cell r="B1143" t="str">
            <v>ÁCIDO ACRÍLICO, ESTABILIZADO</v>
          </cell>
          <cell r="C1143">
            <v>333</v>
          </cell>
          <cell r="D1143" t="str">
            <v>1 L</v>
          </cell>
        </row>
        <row r="1144">
          <cell r="A1144">
            <v>2219</v>
          </cell>
          <cell r="B1144" t="str">
            <v>ÉTER ALILGLICIDÍLICO</v>
          </cell>
          <cell r="C1144">
            <v>1000</v>
          </cell>
          <cell r="D1144" t="str">
            <v>5 L</v>
          </cell>
        </row>
        <row r="1145">
          <cell r="A1145">
            <v>2222</v>
          </cell>
          <cell r="B1145" t="str">
            <v>ANISOL</v>
          </cell>
          <cell r="C1145">
            <v>1000</v>
          </cell>
          <cell r="D1145" t="str">
            <v>5 L</v>
          </cell>
        </row>
        <row r="1146">
          <cell r="A1146">
            <v>2224</v>
          </cell>
          <cell r="B1146" t="str">
            <v>BENZONITRILA</v>
          </cell>
          <cell r="C1146">
            <v>333</v>
          </cell>
          <cell r="D1146" t="str">
            <v>100 ml</v>
          </cell>
        </row>
        <row r="1147">
          <cell r="A1147">
            <v>2225</v>
          </cell>
          <cell r="B1147" t="str">
            <v>CLORETO DE BENZENOSSULFONILA</v>
          </cell>
          <cell r="C1147">
            <v>1000</v>
          </cell>
          <cell r="D1147" t="str">
            <v>5 L</v>
          </cell>
        </row>
        <row r="1148">
          <cell r="A1148">
            <v>2226</v>
          </cell>
          <cell r="B1148" t="str">
            <v>BENZOTRICLORETO</v>
          </cell>
          <cell r="C1148">
            <v>333</v>
          </cell>
          <cell r="D1148" t="str">
            <v>1 L</v>
          </cell>
        </row>
        <row r="1149">
          <cell r="A1149">
            <v>2227</v>
          </cell>
          <cell r="B1149" t="str">
            <v>METACRILATO DE n-BUTILA, ESTABILIZADO</v>
          </cell>
          <cell r="C1149">
            <v>1000</v>
          </cell>
          <cell r="D1149" t="str">
            <v>5 L</v>
          </cell>
        </row>
        <row r="1150">
          <cell r="A1150">
            <v>2232</v>
          </cell>
          <cell r="B1150" t="str">
            <v>2-CLOROETANAL</v>
          </cell>
          <cell r="C1150">
            <v>20</v>
          </cell>
          <cell r="D1150" t="str">
            <v>ZERO</v>
          </cell>
        </row>
        <row r="1151">
          <cell r="A1151">
            <v>2233</v>
          </cell>
          <cell r="B1151" t="str">
            <v>CLOROANISIDINAS</v>
          </cell>
          <cell r="C1151">
            <v>333</v>
          </cell>
          <cell r="D1151" t="str">
            <v>5 kg</v>
          </cell>
        </row>
        <row r="1152">
          <cell r="A1152">
            <v>2234</v>
          </cell>
          <cell r="B1152" t="str">
            <v>TRIFLUORETO(S) DE CLOROBENZILA</v>
          </cell>
          <cell r="C1152">
            <v>1000</v>
          </cell>
          <cell r="D1152" t="str">
            <v>5 L</v>
          </cell>
        </row>
        <row r="1153">
          <cell r="A1153">
            <v>2235</v>
          </cell>
          <cell r="B1153" t="str">
            <v>CLORETO(S) DE CLOROBENZILA, LÍQUIDOS</v>
          </cell>
          <cell r="C1153">
            <v>333</v>
          </cell>
          <cell r="D1153" t="str">
            <v>5 L</v>
          </cell>
        </row>
        <row r="1154">
          <cell r="A1154">
            <v>2236</v>
          </cell>
          <cell r="B1154" t="str">
            <v>ISOCIANATO DE 3-CLORO-4-MEILFENILA, LÍQUIDO</v>
          </cell>
          <cell r="C1154">
            <v>333</v>
          </cell>
          <cell r="D1154" t="str">
            <v>100 ml</v>
          </cell>
        </row>
        <row r="1155">
          <cell r="A1155">
            <v>2237</v>
          </cell>
          <cell r="B1155" t="str">
            <v>CLORONITROANILINAS</v>
          </cell>
          <cell r="C1155">
            <v>333</v>
          </cell>
          <cell r="D1155" t="str">
            <v>5 kg</v>
          </cell>
        </row>
        <row r="1156">
          <cell r="A1156">
            <v>2238</v>
          </cell>
          <cell r="B1156" t="str">
            <v>CLOROTOLUENOS</v>
          </cell>
          <cell r="C1156">
            <v>1000</v>
          </cell>
          <cell r="D1156" t="str">
            <v>5 L</v>
          </cell>
        </row>
        <row r="1157">
          <cell r="A1157">
            <v>2239</v>
          </cell>
          <cell r="B1157" t="str">
            <v>CLOROTOLUIDINAS, SÓLIDAS</v>
          </cell>
          <cell r="C1157">
            <v>333</v>
          </cell>
          <cell r="D1157" t="str">
            <v>5 kg</v>
          </cell>
        </row>
        <row r="1158">
          <cell r="A1158">
            <v>2240</v>
          </cell>
          <cell r="B1158" t="str">
            <v>ÁCIDO CROMOSSULFÚRICO</v>
          </cell>
          <cell r="C1158">
            <v>20</v>
          </cell>
          <cell r="D1158" t="str">
            <v>ZERO</v>
          </cell>
        </row>
        <row r="1159">
          <cell r="A1159">
            <v>2241</v>
          </cell>
          <cell r="B1159" t="str">
            <v>CICLO HEPTANO</v>
          </cell>
          <cell r="C1159">
            <v>333</v>
          </cell>
          <cell r="D1159" t="str">
            <v>1 L</v>
          </cell>
        </row>
        <row r="1160">
          <cell r="A1160">
            <v>2242</v>
          </cell>
          <cell r="B1160" t="str">
            <v>CICLO HEPTENO</v>
          </cell>
          <cell r="C1160">
            <v>333</v>
          </cell>
          <cell r="D1160" t="str">
            <v>1 L</v>
          </cell>
        </row>
        <row r="1161">
          <cell r="A1161">
            <v>2243</v>
          </cell>
          <cell r="B1161" t="str">
            <v>ACETATO DE CICLO HEXILA</v>
          </cell>
          <cell r="C1161">
            <v>1000</v>
          </cell>
          <cell r="D1161" t="str">
            <v>5 L</v>
          </cell>
        </row>
        <row r="1162">
          <cell r="A1162">
            <v>2244</v>
          </cell>
          <cell r="B1162" t="str">
            <v>CICLOPENTANOL</v>
          </cell>
          <cell r="C1162">
            <v>1000</v>
          </cell>
          <cell r="D1162" t="str">
            <v>5 L</v>
          </cell>
        </row>
        <row r="1163">
          <cell r="A1163">
            <v>2245</v>
          </cell>
          <cell r="B1163" t="str">
            <v>CICLOPENTANONA</v>
          </cell>
          <cell r="C1163">
            <v>1000</v>
          </cell>
          <cell r="D1163" t="str">
            <v>5 L</v>
          </cell>
        </row>
        <row r="1164">
          <cell r="A1164">
            <v>2246</v>
          </cell>
          <cell r="B1164" t="str">
            <v>CICLOPENTENO</v>
          </cell>
          <cell r="C1164">
            <v>333</v>
          </cell>
          <cell r="D1164" t="str">
            <v>1 L</v>
          </cell>
        </row>
        <row r="1165">
          <cell r="A1165">
            <v>2247</v>
          </cell>
          <cell r="B1165" t="str">
            <v>n-DECANO</v>
          </cell>
          <cell r="C1165">
            <v>1000</v>
          </cell>
          <cell r="D1165" t="str">
            <v>5 L</v>
          </cell>
        </row>
        <row r="1166">
          <cell r="A1166">
            <v>2248</v>
          </cell>
          <cell r="B1166" t="str">
            <v>DI-n-BUTILAMINA</v>
          </cell>
          <cell r="C1166">
            <v>333</v>
          </cell>
          <cell r="D1166" t="str">
            <v>1 L</v>
          </cell>
        </row>
        <row r="1167">
          <cell r="A1167">
            <v>2249</v>
          </cell>
          <cell r="B1167" t="str">
            <v>ÉTER DICLORODIMETÍLICO, SIMÉTRICO</v>
          </cell>
          <cell r="C1167">
            <v>20</v>
          </cell>
          <cell r="D1167" t="str">
            <v>ZERO</v>
          </cell>
        </row>
        <row r="1168">
          <cell r="A1168">
            <v>2250</v>
          </cell>
          <cell r="B1168" t="str">
            <v>ISOCIANATO(S) DE DICLOROFENILA</v>
          </cell>
          <cell r="C1168">
            <v>333</v>
          </cell>
          <cell r="D1168" t="str">
            <v>500 g</v>
          </cell>
        </row>
        <row r="1169">
          <cell r="A1169">
            <v>2251</v>
          </cell>
          <cell r="B1169" t="str">
            <v>BICICLO [2.2.1]HEPTA-2,5-DIENO, ESTABILIZADO (2,5-NORBONADIENO, ESTABILIZADO)</v>
          </cell>
          <cell r="C1169">
            <v>333</v>
          </cell>
          <cell r="D1169" t="str">
            <v>1 L</v>
          </cell>
        </row>
        <row r="1170">
          <cell r="A1170">
            <v>2252</v>
          </cell>
          <cell r="B1170" t="str">
            <v>1,2-DIMETOXIETANO</v>
          </cell>
          <cell r="C1170">
            <v>333</v>
          </cell>
          <cell r="D1170" t="str">
            <v>1 L</v>
          </cell>
        </row>
        <row r="1171">
          <cell r="A1171">
            <v>2253</v>
          </cell>
          <cell r="B1171" t="str">
            <v>N,N-DIMETILANILINA</v>
          </cell>
          <cell r="C1171">
            <v>333</v>
          </cell>
          <cell r="D1171" t="str">
            <v>100 ml</v>
          </cell>
        </row>
        <row r="1172">
          <cell r="A1172">
            <v>2254</v>
          </cell>
          <cell r="B1172" t="str">
            <v>FÓSFOROS, QUE SE CONSERVAM ACESOS AO VENTO</v>
          </cell>
          <cell r="C1172" t="str">
            <v>ILIMITADA</v>
          </cell>
          <cell r="D1172" t="str">
            <v>5 kg</v>
          </cell>
        </row>
        <row r="1173">
          <cell r="A1173">
            <v>2256</v>
          </cell>
          <cell r="B1173" t="str">
            <v>CICLO HEXENO</v>
          </cell>
          <cell r="C1173">
            <v>333</v>
          </cell>
          <cell r="D1173" t="str">
            <v>1 L</v>
          </cell>
        </row>
        <row r="1174">
          <cell r="A1174">
            <v>2257</v>
          </cell>
          <cell r="B1174" t="str">
            <v>POTÁSSIO</v>
          </cell>
          <cell r="C1174">
            <v>20</v>
          </cell>
          <cell r="D1174" t="str">
            <v>ZERO</v>
          </cell>
        </row>
        <row r="1175">
          <cell r="A1175">
            <v>2258</v>
          </cell>
          <cell r="B1175" t="str">
            <v>1,2-PROPILENODIAMINA</v>
          </cell>
          <cell r="C1175">
            <v>333</v>
          </cell>
          <cell r="D1175" t="str">
            <v>1 L</v>
          </cell>
        </row>
        <row r="1176">
          <cell r="A1176">
            <v>2259</v>
          </cell>
          <cell r="B1176" t="str">
            <v>TRIETILENOTETRAMINA</v>
          </cell>
          <cell r="C1176">
            <v>333</v>
          </cell>
          <cell r="D1176" t="str">
            <v>1 L</v>
          </cell>
        </row>
        <row r="1177">
          <cell r="A1177">
            <v>2260</v>
          </cell>
          <cell r="B1177" t="str">
            <v>TRIPROPILAMINA</v>
          </cell>
          <cell r="C1177">
            <v>1000</v>
          </cell>
          <cell r="D1177" t="str">
            <v>5 L</v>
          </cell>
        </row>
        <row r="1178">
          <cell r="A1178">
            <v>2261</v>
          </cell>
          <cell r="B1178" t="str">
            <v>XILENÓIS, SÓLIDOS</v>
          </cell>
          <cell r="C1178">
            <v>333</v>
          </cell>
          <cell r="D1178" t="str">
            <v>500 g</v>
          </cell>
        </row>
        <row r="1179">
          <cell r="A1179">
            <v>2262</v>
          </cell>
          <cell r="B1179" t="str">
            <v>CLORETO DE DIMETILCARBAMOÍLA</v>
          </cell>
          <cell r="C1179">
            <v>333</v>
          </cell>
          <cell r="D1179" t="str">
            <v>1 L</v>
          </cell>
        </row>
        <row r="1180">
          <cell r="A1180">
            <v>2263</v>
          </cell>
          <cell r="B1180" t="str">
            <v>DIMETILCICLO HEXANOS</v>
          </cell>
          <cell r="C1180">
            <v>333</v>
          </cell>
          <cell r="D1180" t="str">
            <v>1 L</v>
          </cell>
        </row>
        <row r="1181">
          <cell r="A1181">
            <v>2264</v>
          </cell>
          <cell r="B1181" t="str">
            <v>N,N-DIMETILCICLO HEXILAMINA</v>
          </cell>
          <cell r="C1181">
            <v>333</v>
          </cell>
          <cell r="D1181" t="str">
            <v>1 L</v>
          </cell>
        </row>
        <row r="1182">
          <cell r="A1182">
            <v>2265</v>
          </cell>
          <cell r="B1182" t="str">
            <v>N,N-DIMETILFORMAMIDA</v>
          </cell>
          <cell r="C1182">
            <v>1000</v>
          </cell>
          <cell r="D1182" t="str">
            <v>5 L</v>
          </cell>
        </row>
        <row r="1183">
          <cell r="A1183">
            <v>2266</v>
          </cell>
          <cell r="B1183" t="str">
            <v>DIMETIL-N-PROPILAMINA</v>
          </cell>
          <cell r="C1183">
            <v>333</v>
          </cell>
          <cell r="D1183" t="str">
            <v>1 L</v>
          </cell>
        </row>
        <row r="1184">
          <cell r="A1184">
            <v>2267</v>
          </cell>
          <cell r="B1184" t="str">
            <v>CLORETO DE DIMETILTIOFOSFORILA</v>
          </cell>
          <cell r="C1184">
            <v>333</v>
          </cell>
          <cell r="D1184" t="str">
            <v>100 ml</v>
          </cell>
        </row>
        <row r="1185">
          <cell r="A1185">
            <v>2269</v>
          </cell>
          <cell r="B1185" t="str">
            <v>3,3` IMINODIPROPILAMINA</v>
          </cell>
          <cell r="C1185">
            <v>1000</v>
          </cell>
          <cell r="D1185" t="str">
            <v>5 L</v>
          </cell>
        </row>
        <row r="1186">
          <cell r="A1186">
            <v>2270</v>
          </cell>
          <cell r="B1186" t="str">
            <v>ETILAMINA, SOLUÇÃO AQUOSA, com não menos que 50% e não mais que 70% de etilamina</v>
          </cell>
          <cell r="C1186">
            <v>333</v>
          </cell>
          <cell r="D1186" t="str">
            <v>1 L</v>
          </cell>
        </row>
        <row r="1187">
          <cell r="A1187">
            <v>2271</v>
          </cell>
          <cell r="B1187" t="str">
            <v>ETILAMILCETONA</v>
          </cell>
          <cell r="C1187">
            <v>1000</v>
          </cell>
          <cell r="D1187" t="str">
            <v>5 L</v>
          </cell>
        </row>
        <row r="1188">
          <cell r="A1188">
            <v>2272</v>
          </cell>
          <cell r="B1188" t="str">
            <v>N-ETILANILINA</v>
          </cell>
          <cell r="C1188">
            <v>333</v>
          </cell>
          <cell r="D1188" t="str">
            <v>5 L</v>
          </cell>
        </row>
        <row r="1189">
          <cell r="A1189">
            <v>2273</v>
          </cell>
          <cell r="B1189" t="str">
            <v>2-ETILANILINA</v>
          </cell>
          <cell r="C1189">
            <v>333</v>
          </cell>
          <cell r="D1189" t="str">
            <v>5 L</v>
          </cell>
        </row>
        <row r="1190">
          <cell r="A1190">
            <v>2274</v>
          </cell>
          <cell r="B1190" t="str">
            <v>N-ETIL-N-BENZILANILINA</v>
          </cell>
          <cell r="C1190">
            <v>333</v>
          </cell>
          <cell r="D1190" t="str">
            <v>5 L</v>
          </cell>
        </row>
        <row r="1191">
          <cell r="A1191">
            <v>2275</v>
          </cell>
          <cell r="B1191" t="str">
            <v>2-ETILBUTANOL</v>
          </cell>
          <cell r="C1191">
            <v>1000</v>
          </cell>
          <cell r="D1191" t="str">
            <v>5 L</v>
          </cell>
        </row>
        <row r="1192">
          <cell r="A1192">
            <v>2276</v>
          </cell>
          <cell r="B1192" t="str">
            <v>2-ETIL HEXILAMINA</v>
          </cell>
          <cell r="C1192">
            <v>1000</v>
          </cell>
          <cell r="D1192" t="str">
            <v>5 L</v>
          </cell>
        </row>
        <row r="1193">
          <cell r="A1193">
            <v>2277</v>
          </cell>
          <cell r="B1193" t="str">
            <v>METACRILATO DE ETILA, ESTABILIZADO</v>
          </cell>
          <cell r="C1193">
            <v>333</v>
          </cell>
          <cell r="D1193" t="str">
            <v>1L</v>
          </cell>
        </row>
        <row r="1194">
          <cell r="A1194">
            <v>2278</v>
          </cell>
          <cell r="B1194" t="str">
            <v>n-HEPTENO</v>
          </cell>
          <cell r="C1194">
            <v>333</v>
          </cell>
          <cell r="D1194" t="str">
            <v>1L</v>
          </cell>
        </row>
        <row r="1195">
          <cell r="A1195">
            <v>2279</v>
          </cell>
          <cell r="B1195" t="str">
            <v>HEXACLOROBUTADIENO</v>
          </cell>
          <cell r="C1195">
            <v>333</v>
          </cell>
          <cell r="D1195" t="str">
            <v>5 L</v>
          </cell>
        </row>
        <row r="1196">
          <cell r="A1196">
            <v>2280</v>
          </cell>
          <cell r="B1196" t="str">
            <v>HEXAMETILENODIAMINA, SÓLIDA</v>
          </cell>
          <cell r="C1196">
            <v>1000</v>
          </cell>
          <cell r="D1196" t="str">
            <v>5 kg</v>
          </cell>
        </row>
        <row r="1197">
          <cell r="A1197">
            <v>2281</v>
          </cell>
          <cell r="B1197" t="str">
            <v>DIISOCIANATO DE HEXAMETILENO</v>
          </cell>
          <cell r="C1197">
            <v>333</v>
          </cell>
          <cell r="D1197" t="str">
            <v>100 ml</v>
          </cell>
        </row>
        <row r="1198">
          <cell r="A1198">
            <v>2282</v>
          </cell>
          <cell r="B1198" t="str">
            <v>HEXANÓIS</v>
          </cell>
          <cell r="C1198">
            <v>1000</v>
          </cell>
          <cell r="D1198" t="str">
            <v>5 L</v>
          </cell>
        </row>
        <row r="1199">
          <cell r="A1199">
            <v>2283</v>
          </cell>
          <cell r="B1199" t="str">
            <v>METACRILATO DE ISOBUTILA, ESTABILIZADO</v>
          </cell>
          <cell r="C1199">
            <v>1000</v>
          </cell>
          <cell r="D1199" t="str">
            <v>5 L</v>
          </cell>
        </row>
        <row r="1200">
          <cell r="A1200">
            <v>2284</v>
          </cell>
          <cell r="B1200" t="str">
            <v>ISOBUTIRONITRILA</v>
          </cell>
          <cell r="C1200">
            <v>333</v>
          </cell>
          <cell r="D1200" t="str">
            <v>1L</v>
          </cell>
        </row>
        <row r="1201">
          <cell r="A1201">
            <v>2285</v>
          </cell>
          <cell r="B1201" t="str">
            <v>TRIFLUORETO(S) DE ISOBENZOCIANATO</v>
          </cell>
          <cell r="C1201">
            <v>333</v>
          </cell>
          <cell r="D1201" t="str">
            <v>100 ml</v>
          </cell>
        </row>
        <row r="1202">
          <cell r="A1202">
            <v>2286</v>
          </cell>
          <cell r="B1202" t="str">
            <v>PENTAMETIL-HEPTANO</v>
          </cell>
          <cell r="C1202">
            <v>1000</v>
          </cell>
          <cell r="D1202" t="str">
            <v>5 L</v>
          </cell>
        </row>
        <row r="1203">
          <cell r="A1203">
            <v>2287</v>
          </cell>
          <cell r="B1203" t="str">
            <v>ISO-HEPTENOS</v>
          </cell>
          <cell r="C1203">
            <v>333</v>
          </cell>
          <cell r="D1203" t="str">
            <v>1L</v>
          </cell>
        </row>
        <row r="1204">
          <cell r="A1204">
            <v>2288</v>
          </cell>
          <cell r="B1204" t="str">
            <v>ISO-HEXENOS</v>
          </cell>
          <cell r="C1204">
            <v>333</v>
          </cell>
          <cell r="D1204" t="str">
            <v>1L</v>
          </cell>
        </row>
        <row r="1205">
          <cell r="A1205">
            <v>2289</v>
          </cell>
          <cell r="B1205" t="str">
            <v>ISOFORONADIAMINA</v>
          </cell>
          <cell r="C1205">
            <v>1000</v>
          </cell>
          <cell r="D1205" t="str">
            <v>5 L</v>
          </cell>
        </row>
        <row r="1206">
          <cell r="A1206">
            <v>2290</v>
          </cell>
          <cell r="B1206" t="str">
            <v>DIISOCIANATO DE ISOFORONA</v>
          </cell>
          <cell r="C1206">
            <v>333</v>
          </cell>
          <cell r="D1206" t="str">
            <v>5 L</v>
          </cell>
        </row>
        <row r="1207">
          <cell r="A1207">
            <v>2291</v>
          </cell>
          <cell r="B1207" t="str">
            <v>CHUMBO COMPOSTO, SOLÚVEL, N.E.</v>
          </cell>
          <cell r="C1207">
            <v>333</v>
          </cell>
          <cell r="D1207" t="str">
            <v>5 kg</v>
          </cell>
        </row>
        <row r="1208">
          <cell r="A1208">
            <v>2293</v>
          </cell>
          <cell r="B1208" t="str">
            <v>4-METÓXI-4-METILPENTAN-2-ONA</v>
          </cell>
          <cell r="C1208">
            <v>1000</v>
          </cell>
          <cell r="D1208" t="str">
            <v>5 L</v>
          </cell>
        </row>
        <row r="1209">
          <cell r="A1209">
            <v>2294</v>
          </cell>
          <cell r="B1209" t="str">
            <v>N-METILANILINA</v>
          </cell>
          <cell r="C1209">
            <v>333</v>
          </cell>
          <cell r="D1209" t="str">
            <v>5 L</v>
          </cell>
        </row>
        <row r="1210">
          <cell r="A1210">
            <v>2295</v>
          </cell>
          <cell r="B1210" t="str">
            <v>CLOROACETATO DE METILA</v>
          </cell>
          <cell r="C1210">
            <v>20</v>
          </cell>
          <cell r="D1210" t="str">
            <v>ZERO</v>
          </cell>
        </row>
        <row r="1211">
          <cell r="A1211">
            <v>2296</v>
          </cell>
          <cell r="B1211" t="str">
            <v>METILCICLO-HEXANO</v>
          </cell>
          <cell r="C1211">
            <v>333</v>
          </cell>
          <cell r="D1211" t="str">
            <v>1 L</v>
          </cell>
        </row>
        <row r="1212">
          <cell r="A1212">
            <v>2297</v>
          </cell>
          <cell r="B1212" t="str">
            <v>METILCICLO-HEXANONA</v>
          </cell>
          <cell r="C1212">
            <v>1000</v>
          </cell>
          <cell r="D1212" t="str">
            <v>5 L</v>
          </cell>
        </row>
        <row r="1213">
          <cell r="A1213">
            <v>2298</v>
          </cell>
          <cell r="B1213" t="str">
            <v>METILCICLOPENTANO</v>
          </cell>
          <cell r="C1213">
            <v>333</v>
          </cell>
          <cell r="D1213" t="str">
            <v>1 L</v>
          </cell>
        </row>
        <row r="1214">
          <cell r="A1214">
            <v>2299</v>
          </cell>
          <cell r="B1214" t="str">
            <v>DICLOROACETATO DE METILA</v>
          </cell>
          <cell r="C1214">
            <v>333</v>
          </cell>
          <cell r="D1214" t="str">
            <v>5 L</v>
          </cell>
        </row>
        <row r="1215">
          <cell r="A1215">
            <v>2300</v>
          </cell>
          <cell r="B1215" t="str">
            <v>2-METIL-5-ETILPIRIDINA</v>
          </cell>
          <cell r="C1215">
            <v>333</v>
          </cell>
          <cell r="D1215" t="str">
            <v>5 L</v>
          </cell>
        </row>
        <row r="1216">
          <cell r="A1216">
            <v>2301</v>
          </cell>
          <cell r="B1216" t="str">
            <v>2-METILFURANO</v>
          </cell>
          <cell r="C1216">
            <v>333</v>
          </cell>
          <cell r="D1216" t="str">
            <v>1 L</v>
          </cell>
        </row>
        <row r="1217">
          <cell r="A1217">
            <v>2302</v>
          </cell>
          <cell r="B1217" t="str">
            <v>5-METIL-HEXAN-2-ONA</v>
          </cell>
          <cell r="C1217">
            <v>1000</v>
          </cell>
          <cell r="D1217" t="str">
            <v>5 L</v>
          </cell>
        </row>
        <row r="1218">
          <cell r="A1218">
            <v>2303</v>
          </cell>
          <cell r="B1218" t="str">
            <v>ISOPROPENILBENZENO</v>
          </cell>
          <cell r="C1218">
            <v>1000</v>
          </cell>
          <cell r="D1218" t="str">
            <v>5 L</v>
          </cell>
        </row>
        <row r="1219">
          <cell r="A1219">
            <v>2304</v>
          </cell>
          <cell r="B1219" t="str">
            <v>NAFTALENO, FUNDIDO</v>
          </cell>
          <cell r="C1219">
            <v>1000</v>
          </cell>
          <cell r="D1219" t="str">
            <v>ZERO</v>
          </cell>
        </row>
        <row r="1220">
          <cell r="A1220">
            <v>2305</v>
          </cell>
          <cell r="B1220" t="str">
            <v>ÁCIDO NITROBENZENOSSULFÔNICO</v>
          </cell>
          <cell r="C1220">
            <v>333</v>
          </cell>
          <cell r="D1220" t="str">
            <v>1 kg</v>
          </cell>
        </row>
        <row r="1221">
          <cell r="A1221">
            <v>2306</v>
          </cell>
          <cell r="B1221" t="str">
            <v>TRIFLUORETOS DE NITROBENZENO, LÍQUIDO</v>
          </cell>
          <cell r="C1221">
            <v>333</v>
          </cell>
          <cell r="D1221" t="str">
            <v>100 ml</v>
          </cell>
        </row>
        <row r="1222">
          <cell r="A1222">
            <v>2307</v>
          </cell>
          <cell r="B1222" t="str">
            <v>TRIFLUORETO DE 3-NITRO-4-CLOROBENZENO</v>
          </cell>
          <cell r="C1222">
            <v>333</v>
          </cell>
          <cell r="D1222" t="str">
            <v>100 ml</v>
          </cell>
        </row>
        <row r="1223">
          <cell r="A1223">
            <v>2308</v>
          </cell>
          <cell r="B1223" t="str">
            <v>ÁCIDO NITROSILSULFÚRICO, LÍQUIDO</v>
          </cell>
          <cell r="C1223">
            <v>333</v>
          </cell>
          <cell r="D1223" t="str">
            <v>1 L</v>
          </cell>
        </row>
        <row r="1224">
          <cell r="A1224">
            <v>2309</v>
          </cell>
          <cell r="B1224" t="str">
            <v>OCTADIENO</v>
          </cell>
          <cell r="C1224">
            <v>333</v>
          </cell>
          <cell r="D1224" t="str">
            <v>1 L</v>
          </cell>
        </row>
        <row r="1225">
          <cell r="A1225">
            <v>2310</v>
          </cell>
          <cell r="B1225" t="str">
            <v>PENTANO-2,4-DIONA</v>
          </cell>
          <cell r="C1225">
            <v>1000</v>
          </cell>
          <cell r="D1225" t="str">
            <v>5 L</v>
          </cell>
        </row>
        <row r="1226">
          <cell r="A1226">
            <v>2311</v>
          </cell>
          <cell r="B1226" t="str">
            <v>FENETIDINAS</v>
          </cell>
          <cell r="C1226">
            <v>333</v>
          </cell>
          <cell r="D1226" t="str">
            <v>5 L</v>
          </cell>
        </row>
        <row r="1227">
          <cell r="A1227">
            <v>2312</v>
          </cell>
          <cell r="B1227" t="str">
            <v>FENOL, FUNDIDO</v>
          </cell>
          <cell r="C1227" t="str">
            <v>ZERO</v>
          </cell>
          <cell r="D1227" t="str">
            <v>ZERO</v>
          </cell>
        </row>
        <row r="1228">
          <cell r="A1228">
            <v>2313</v>
          </cell>
          <cell r="B1228" t="str">
            <v>PICOLINAS</v>
          </cell>
          <cell r="C1228">
            <v>1000</v>
          </cell>
          <cell r="D1228" t="str">
            <v>5 L</v>
          </cell>
        </row>
        <row r="1229">
          <cell r="A1229">
            <v>2315</v>
          </cell>
          <cell r="B1229" t="str">
            <v>BIFENILAS POLICLORADAS, LÍQUIDAS</v>
          </cell>
          <cell r="C1229" t="str">
            <v>ZERO</v>
          </cell>
          <cell r="D1229" t="str">
            <v>1 L</v>
          </cell>
        </row>
        <row r="1230">
          <cell r="A1230">
            <v>2316</v>
          </cell>
          <cell r="B1230" t="str">
            <v>CUPROCIANETO DE SÓDIO, SÓLIDO</v>
          </cell>
          <cell r="C1230">
            <v>20</v>
          </cell>
          <cell r="D1230" t="str">
            <v>ZERO</v>
          </cell>
        </row>
        <row r="1231">
          <cell r="A1231">
            <v>2317</v>
          </cell>
          <cell r="B1231" t="str">
            <v>CUPROCIANETO DE SÓDIO SOLUÇÃO</v>
          </cell>
          <cell r="C1231">
            <v>20</v>
          </cell>
          <cell r="D1231" t="str">
            <v>ZERO</v>
          </cell>
        </row>
        <row r="1232">
          <cell r="A1232">
            <v>2318</v>
          </cell>
          <cell r="B1232" t="str">
            <v>HIDROSSULFETO DE SÓDIO com menos de 25% de água de cristalização</v>
          </cell>
          <cell r="C1232">
            <v>333</v>
          </cell>
          <cell r="D1232" t="str">
            <v>ZERO</v>
          </cell>
        </row>
        <row r="1233">
          <cell r="A1233">
            <v>2319</v>
          </cell>
          <cell r="B1233" t="str">
            <v>HIDROCARBONETOS TERPÊNICOS, N.E.</v>
          </cell>
          <cell r="C1233">
            <v>1000</v>
          </cell>
          <cell r="D1233" t="str">
            <v>5 L</v>
          </cell>
        </row>
        <row r="1234">
          <cell r="A1234">
            <v>2320</v>
          </cell>
          <cell r="B1234" t="str">
            <v>TETRAETILENOPENTAMINA</v>
          </cell>
          <cell r="C1234">
            <v>1000</v>
          </cell>
          <cell r="D1234" t="str">
            <v>5 L</v>
          </cell>
        </row>
        <row r="1235">
          <cell r="A1235">
            <v>2321</v>
          </cell>
          <cell r="B1235" t="str">
            <v>TRICLOROBENZENOS, LÍQUIDOS</v>
          </cell>
          <cell r="C1235">
            <v>333</v>
          </cell>
          <cell r="D1235" t="str">
            <v>5 L</v>
          </cell>
        </row>
        <row r="1236">
          <cell r="A1236">
            <v>2322</v>
          </cell>
          <cell r="B1236" t="str">
            <v>TRICLOROBUTENO</v>
          </cell>
          <cell r="C1236">
            <v>333</v>
          </cell>
          <cell r="D1236" t="str">
            <v>100 ml</v>
          </cell>
        </row>
        <row r="1237">
          <cell r="A1237">
            <v>2323</v>
          </cell>
          <cell r="B1237" t="str">
            <v>FOSFITO DE TRIETILA</v>
          </cell>
          <cell r="C1237">
            <v>1000</v>
          </cell>
          <cell r="D1237" t="str">
            <v>5 L</v>
          </cell>
        </row>
        <row r="1238">
          <cell r="A1238">
            <v>2324</v>
          </cell>
          <cell r="B1238" t="str">
            <v>TRIISOBUTILENO</v>
          </cell>
          <cell r="C1238">
            <v>1000</v>
          </cell>
          <cell r="D1238" t="str">
            <v>5 L</v>
          </cell>
        </row>
        <row r="1239">
          <cell r="A1239">
            <v>2325</v>
          </cell>
          <cell r="B1239" t="str">
            <v>1,3,5-TRIMETILBENZENO</v>
          </cell>
          <cell r="C1239">
            <v>1000</v>
          </cell>
          <cell r="D1239" t="str">
            <v>5 L</v>
          </cell>
        </row>
        <row r="1240">
          <cell r="A1240">
            <v>2326</v>
          </cell>
          <cell r="B1240" t="str">
            <v>TRIMETILCICLO-HEXILAMINA</v>
          </cell>
          <cell r="C1240">
            <v>1000</v>
          </cell>
          <cell r="D1240" t="str">
            <v>5 L</v>
          </cell>
        </row>
        <row r="1241">
          <cell r="A1241">
            <v>2327</v>
          </cell>
          <cell r="B1241" t="str">
            <v>TRIMETIL-HEXAMETILENODIAMINAS</v>
          </cell>
          <cell r="C1241">
            <v>1000</v>
          </cell>
          <cell r="D1241" t="str">
            <v>5 L</v>
          </cell>
        </row>
        <row r="1242">
          <cell r="A1242">
            <v>2328</v>
          </cell>
          <cell r="B1242" t="str">
            <v>DIISOCIANATO DE TRIMETIL-HEXAMETILENO</v>
          </cell>
          <cell r="C1242">
            <v>333</v>
          </cell>
          <cell r="D1242" t="str">
            <v>5 L</v>
          </cell>
        </row>
        <row r="1243">
          <cell r="A1243">
            <v>2329</v>
          </cell>
          <cell r="B1243" t="str">
            <v>FOSFITO DE TRIMETILA</v>
          </cell>
          <cell r="C1243">
            <v>1000</v>
          </cell>
          <cell r="D1243" t="str">
            <v>5 L</v>
          </cell>
        </row>
        <row r="1244">
          <cell r="A1244">
            <v>2330</v>
          </cell>
          <cell r="B1244" t="str">
            <v>UNDECANO</v>
          </cell>
          <cell r="C1244">
            <v>1000</v>
          </cell>
          <cell r="D1244" t="str">
            <v>5 L</v>
          </cell>
        </row>
        <row r="1245">
          <cell r="A1245">
            <v>2331</v>
          </cell>
          <cell r="B1245" t="str">
            <v>CLORETO DE ZINCO, ANIDRO</v>
          </cell>
          <cell r="C1245">
            <v>1000</v>
          </cell>
          <cell r="D1245" t="str">
            <v>5 kg</v>
          </cell>
        </row>
        <row r="1246">
          <cell r="A1246">
            <v>2332</v>
          </cell>
          <cell r="B1246" t="str">
            <v>ACETALDEÍDO OXIMA</v>
          </cell>
          <cell r="C1246">
            <v>1000</v>
          </cell>
          <cell r="D1246" t="str">
            <v>5 L</v>
          </cell>
        </row>
        <row r="1247">
          <cell r="A1247">
            <v>2333</v>
          </cell>
          <cell r="B1247" t="str">
            <v>ACETATO DE ALILA</v>
          </cell>
          <cell r="C1247">
            <v>333</v>
          </cell>
          <cell r="D1247" t="str">
            <v>1 L</v>
          </cell>
        </row>
        <row r="1248">
          <cell r="A1248">
            <v>2334</v>
          </cell>
          <cell r="B1248" t="str">
            <v>ALILAMINA</v>
          </cell>
          <cell r="C1248">
            <v>20</v>
          </cell>
          <cell r="D1248" t="str">
            <v>ZERO</v>
          </cell>
        </row>
        <row r="1249">
          <cell r="A1249">
            <v>2335</v>
          </cell>
          <cell r="B1249" t="str">
            <v>ÉTER ALILETÍLICO</v>
          </cell>
          <cell r="C1249">
            <v>333</v>
          </cell>
          <cell r="D1249" t="str">
            <v>1 L</v>
          </cell>
        </row>
        <row r="1250">
          <cell r="A1250">
            <v>2336</v>
          </cell>
          <cell r="B1250" t="str">
            <v>FORMIATO DE ALILA</v>
          </cell>
          <cell r="C1250">
            <v>20</v>
          </cell>
          <cell r="D1250" t="str">
            <v>ZERO</v>
          </cell>
        </row>
        <row r="1251">
          <cell r="A1251">
            <v>2337</v>
          </cell>
          <cell r="B1251" t="str">
            <v>FENILMERCAPTANA</v>
          </cell>
          <cell r="C1251">
            <v>20</v>
          </cell>
          <cell r="D1251" t="str">
            <v>ZERO</v>
          </cell>
        </row>
        <row r="1252">
          <cell r="A1252">
            <v>2338</v>
          </cell>
          <cell r="B1252" t="str">
            <v>BENZOTRIFLUORETO</v>
          </cell>
          <cell r="C1252">
            <v>333</v>
          </cell>
          <cell r="D1252" t="str">
            <v>1 L</v>
          </cell>
        </row>
        <row r="1253">
          <cell r="A1253">
            <v>2339</v>
          </cell>
          <cell r="B1253" t="str">
            <v>2-BROMOBUTANO</v>
          </cell>
          <cell r="C1253">
            <v>333</v>
          </cell>
          <cell r="D1253" t="str">
            <v>1 L</v>
          </cell>
        </row>
        <row r="1254">
          <cell r="A1254">
            <v>2340</v>
          </cell>
          <cell r="B1254" t="str">
            <v>ÉTER 2-BROMOETILETÍLICO</v>
          </cell>
          <cell r="C1254">
            <v>333</v>
          </cell>
          <cell r="D1254" t="str">
            <v>1 L</v>
          </cell>
        </row>
        <row r="1255">
          <cell r="A1255">
            <v>2341</v>
          </cell>
          <cell r="B1255" t="str">
            <v>1-BROMO-3-METILBUTANO</v>
          </cell>
          <cell r="C1255">
            <v>1000</v>
          </cell>
          <cell r="D1255" t="str">
            <v>5 L</v>
          </cell>
        </row>
        <row r="1256">
          <cell r="A1256">
            <v>2342</v>
          </cell>
          <cell r="B1256" t="str">
            <v>BROMOMETILPROPANOS</v>
          </cell>
          <cell r="C1256">
            <v>333</v>
          </cell>
          <cell r="D1256" t="str">
            <v>1 L</v>
          </cell>
        </row>
        <row r="1257">
          <cell r="A1257">
            <v>2343</v>
          </cell>
          <cell r="B1257" t="str">
            <v>2-BROMOPENTANO</v>
          </cell>
          <cell r="C1257">
            <v>333</v>
          </cell>
          <cell r="D1257" t="str">
            <v>1 L</v>
          </cell>
        </row>
        <row r="1258">
          <cell r="A1258">
            <v>2344</v>
          </cell>
          <cell r="B1258" t="str">
            <v>BROMOPROPANOS</v>
          </cell>
          <cell r="C1258">
            <v>333</v>
          </cell>
          <cell r="D1258" t="str">
            <v>1 L</v>
          </cell>
        </row>
        <row r="1259">
          <cell r="A1259">
            <v>2345</v>
          </cell>
          <cell r="B1259" t="str">
            <v>3-BROMOPROPINO</v>
          </cell>
          <cell r="C1259">
            <v>333</v>
          </cell>
          <cell r="D1259" t="str">
            <v>1 L</v>
          </cell>
        </row>
        <row r="1260">
          <cell r="A1260">
            <v>2346</v>
          </cell>
          <cell r="B1260" t="str">
            <v>BUTANODIONA</v>
          </cell>
          <cell r="C1260">
            <v>333</v>
          </cell>
          <cell r="D1260" t="str">
            <v>1 L</v>
          </cell>
        </row>
        <row r="1261">
          <cell r="A1261">
            <v>2347</v>
          </cell>
          <cell r="B1261" t="str">
            <v>BUTILMERCAPTANA</v>
          </cell>
          <cell r="C1261">
            <v>333</v>
          </cell>
          <cell r="D1261" t="str">
            <v>1 L</v>
          </cell>
        </row>
        <row r="1262">
          <cell r="A1262">
            <v>2348</v>
          </cell>
          <cell r="B1262" t="str">
            <v>ACRILATOS DE BUTILA, ESTABILIZADOS</v>
          </cell>
          <cell r="C1262">
            <v>1000</v>
          </cell>
          <cell r="D1262" t="str">
            <v>5 L</v>
          </cell>
        </row>
        <row r="1263">
          <cell r="A1263">
            <v>2349</v>
          </cell>
          <cell r="B1263" t="str">
            <v>ARTIGOS, EXPLOSIVOS, N.E.</v>
          </cell>
          <cell r="C1263">
            <v>333</v>
          </cell>
          <cell r="D1263" t="str">
            <v>ZERO</v>
          </cell>
        </row>
        <row r="1264">
          <cell r="A1264">
            <v>2350</v>
          </cell>
          <cell r="B1264" t="str">
            <v>ÉTER BUTILMETÍLICO</v>
          </cell>
          <cell r="C1264">
            <v>333</v>
          </cell>
          <cell r="D1264" t="str">
            <v>1 L</v>
          </cell>
        </row>
        <row r="1265">
          <cell r="A1265">
            <v>2351</v>
          </cell>
          <cell r="B1265" t="str">
            <v>NITRITOS DE BUTILA</v>
          </cell>
          <cell r="C1265">
            <v>333</v>
          </cell>
          <cell r="D1265" t="str">
            <v>1 L</v>
          </cell>
        </row>
        <row r="1266">
          <cell r="A1266">
            <v>2352</v>
          </cell>
          <cell r="B1266" t="str">
            <v>ÉTER BUTILVINÍLICO, ESTABILIZADO</v>
          </cell>
          <cell r="C1266">
            <v>333</v>
          </cell>
          <cell r="D1266" t="str">
            <v>1 L</v>
          </cell>
        </row>
        <row r="1267">
          <cell r="A1267">
            <v>2353</v>
          </cell>
          <cell r="B1267" t="str">
            <v>CLORETO DE BUTIRILA</v>
          </cell>
          <cell r="C1267">
            <v>333</v>
          </cell>
          <cell r="D1267" t="str">
            <v>1 L</v>
          </cell>
        </row>
        <row r="1268">
          <cell r="A1268">
            <v>2354</v>
          </cell>
          <cell r="B1268" t="str">
            <v>ÉTER CLOROMETILETÍLICO</v>
          </cell>
          <cell r="C1268">
            <v>333</v>
          </cell>
          <cell r="D1268" t="str">
            <v>1 L</v>
          </cell>
        </row>
        <row r="1269">
          <cell r="A1269">
            <v>2356</v>
          </cell>
          <cell r="B1269" t="str">
            <v>2-CLOROPROPANO</v>
          </cell>
          <cell r="C1269">
            <v>20</v>
          </cell>
          <cell r="D1269" t="str">
            <v>ZERO</v>
          </cell>
        </row>
        <row r="1270">
          <cell r="A1270">
            <v>2357</v>
          </cell>
          <cell r="B1270" t="str">
            <v>CICLO HEXILAMINA</v>
          </cell>
          <cell r="C1270">
            <v>333</v>
          </cell>
          <cell r="D1270" t="str">
            <v>1 L</v>
          </cell>
        </row>
        <row r="1271">
          <cell r="A1271">
            <v>2358</v>
          </cell>
          <cell r="B1271" t="str">
            <v>CICLOOCTATETRAENO</v>
          </cell>
          <cell r="C1271">
            <v>333</v>
          </cell>
          <cell r="D1271" t="str">
            <v>1 L</v>
          </cell>
        </row>
        <row r="1272">
          <cell r="A1272">
            <v>2359</v>
          </cell>
          <cell r="B1272" t="str">
            <v>DIALILAMINA</v>
          </cell>
          <cell r="C1272">
            <v>333</v>
          </cell>
          <cell r="D1272" t="str">
            <v>1 L</v>
          </cell>
        </row>
        <row r="1273">
          <cell r="A1273">
            <v>2360</v>
          </cell>
          <cell r="B1273" t="str">
            <v>ÉTER DIALÍLICO</v>
          </cell>
          <cell r="C1273">
            <v>333</v>
          </cell>
          <cell r="D1273" t="str">
            <v>1 L</v>
          </cell>
        </row>
        <row r="1274">
          <cell r="A1274">
            <v>2361</v>
          </cell>
          <cell r="B1274" t="str">
            <v>DIISOBUTILAMINA</v>
          </cell>
          <cell r="C1274">
            <v>1000</v>
          </cell>
          <cell r="D1274" t="str">
            <v>5 L</v>
          </cell>
        </row>
        <row r="1275">
          <cell r="A1275">
            <v>2362</v>
          </cell>
          <cell r="B1275" t="str">
            <v>1,1-DICLOROETANO</v>
          </cell>
          <cell r="C1275">
            <v>333</v>
          </cell>
          <cell r="D1275" t="str">
            <v>1 L</v>
          </cell>
        </row>
        <row r="1276">
          <cell r="A1276">
            <v>2363</v>
          </cell>
          <cell r="B1276" t="str">
            <v>ETILMERCAPTANA</v>
          </cell>
          <cell r="C1276">
            <v>20</v>
          </cell>
          <cell r="D1276" t="str">
            <v>ZERO</v>
          </cell>
        </row>
        <row r="1277">
          <cell r="A1277">
            <v>2364</v>
          </cell>
          <cell r="B1277" t="str">
            <v>n-PROPILBENZENO</v>
          </cell>
          <cell r="C1277">
            <v>1000</v>
          </cell>
          <cell r="D1277" t="str">
            <v>5 L</v>
          </cell>
        </row>
        <row r="1278">
          <cell r="A1278">
            <v>2366</v>
          </cell>
          <cell r="B1278" t="str">
            <v>CARBONATO DE DIETILA</v>
          </cell>
          <cell r="C1278">
            <v>1000</v>
          </cell>
          <cell r="D1278" t="str">
            <v>5 L</v>
          </cell>
        </row>
        <row r="1279">
          <cell r="A1279">
            <v>2367</v>
          </cell>
          <cell r="B1279" t="str">
            <v>alfa-METILVALERALDEÍDO</v>
          </cell>
          <cell r="C1279">
            <v>333</v>
          </cell>
          <cell r="D1279" t="str">
            <v>1 L</v>
          </cell>
        </row>
        <row r="1280">
          <cell r="A1280">
            <v>2368</v>
          </cell>
          <cell r="B1280" t="str">
            <v>alfa-PINENO</v>
          </cell>
          <cell r="C1280">
            <v>1000</v>
          </cell>
          <cell r="D1280" t="str">
            <v>5 L</v>
          </cell>
        </row>
        <row r="1281">
          <cell r="A1281">
            <v>2370</v>
          </cell>
          <cell r="B1281" t="str">
            <v>1-HEXENO</v>
          </cell>
          <cell r="C1281">
            <v>333</v>
          </cell>
          <cell r="D1281" t="str">
            <v>1 L</v>
          </cell>
        </row>
        <row r="1282">
          <cell r="A1282">
            <v>2371</v>
          </cell>
          <cell r="B1282" t="str">
            <v>ISOPENTENOS</v>
          </cell>
          <cell r="C1282">
            <v>20</v>
          </cell>
          <cell r="D1282" t="str">
            <v>ZERO</v>
          </cell>
        </row>
        <row r="1283">
          <cell r="A1283">
            <v>2372</v>
          </cell>
          <cell r="B1283" t="str">
            <v>1,2-DI-(DIMETILAMINO) ETANO</v>
          </cell>
          <cell r="C1283">
            <v>333</v>
          </cell>
          <cell r="D1283" t="str">
            <v>1 L</v>
          </cell>
        </row>
        <row r="1284">
          <cell r="A1284">
            <v>2373</v>
          </cell>
          <cell r="B1284" t="str">
            <v>DIETOXIMETANO</v>
          </cell>
          <cell r="C1284">
            <v>333</v>
          </cell>
          <cell r="D1284" t="str">
            <v>1 L</v>
          </cell>
        </row>
        <row r="1285">
          <cell r="A1285">
            <v>2374</v>
          </cell>
          <cell r="B1285" t="str">
            <v>3,3-DIETOXIPROPENO</v>
          </cell>
          <cell r="C1285">
            <v>333</v>
          </cell>
          <cell r="D1285" t="str">
            <v>1 L</v>
          </cell>
        </row>
        <row r="1286">
          <cell r="A1286">
            <v>2375</v>
          </cell>
          <cell r="B1286" t="str">
            <v>SULFETO DE DIETILA</v>
          </cell>
          <cell r="C1286">
            <v>333</v>
          </cell>
          <cell r="D1286" t="str">
            <v>1 L</v>
          </cell>
        </row>
        <row r="1287">
          <cell r="A1287">
            <v>2376</v>
          </cell>
          <cell r="B1287" t="str">
            <v>2,3-DI-HIDROPIRANO</v>
          </cell>
          <cell r="C1287">
            <v>333</v>
          </cell>
          <cell r="D1287" t="str">
            <v>1 L</v>
          </cell>
        </row>
        <row r="1288">
          <cell r="A1288">
            <v>2377</v>
          </cell>
          <cell r="B1288" t="str">
            <v>1,1-DIMETOXIETANO</v>
          </cell>
          <cell r="C1288">
            <v>333</v>
          </cell>
          <cell r="D1288" t="str">
            <v>1 L</v>
          </cell>
        </row>
        <row r="1289">
          <cell r="A1289">
            <v>2378</v>
          </cell>
          <cell r="B1289" t="str">
            <v>2-DIMETILAMINOACETONITRILA</v>
          </cell>
          <cell r="C1289">
            <v>333</v>
          </cell>
          <cell r="D1289" t="str">
            <v>1 L</v>
          </cell>
        </row>
        <row r="1290">
          <cell r="A1290">
            <v>2379</v>
          </cell>
          <cell r="B1290" t="str">
            <v>1,3-DIMETILBUTILAMINA</v>
          </cell>
          <cell r="C1290">
            <v>333</v>
          </cell>
          <cell r="D1290" t="str">
            <v>1 L</v>
          </cell>
        </row>
        <row r="1291">
          <cell r="A1291">
            <v>2380</v>
          </cell>
          <cell r="B1291" t="str">
            <v>SUBSTÂNCIAS, EXPLOSIVAS, N.E.</v>
          </cell>
          <cell r="C1291">
            <v>20</v>
          </cell>
          <cell r="D1291" t="str">
            <v>ZERO</v>
          </cell>
        </row>
        <row r="1292">
          <cell r="A1292">
            <v>2380</v>
          </cell>
          <cell r="B1292" t="str">
            <v>DIMETILDIETOXISSILANO</v>
          </cell>
          <cell r="C1292">
            <v>333</v>
          </cell>
          <cell r="D1292" t="str">
            <v>1 L</v>
          </cell>
        </row>
        <row r="1293">
          <cell r="A1293">
            <v>2381</v>
          </cell>
          <cell r="B1293" t="str">
            <v>DISSULFETO DE DIMETILA</v>
          </cell>
          <cell r="C1293">
            <v>333</v>
          </cell>
          <cell r="D1293" t="str">
            <v>1 L</v>
          </cell>
        </row>
        <row r="1294">
          <cell r="A1294">
            <v>2382</v>
          </cell>
          <cell r="B1294" t="str">
            <v>DIMETIL-HIDRAZINA, SIMÉTRICA</v>
          </cell>
          <cell r="C1294">
            <v>20</v>
          </cell>
          <cell r="D1294" t="str">
            <v>ZERO</v>
          </cell>
        </row>
        <row r="1295">
          <cell r="A1295">
            <v>2383</v>
          </cell>
          <cell r="B1295" t="str">
            <v>DIPROPILAMINA</v>
          </cell>
          <cell r="C1295">
            <v>333</v>
          </cell>
          <cell r="D1295" t="str">
            <v>1 L</v>
          </cell>
        </row>
        <row r="1296">
          <cell r="A1296">
            <v>2384</v>
          </cell>
          <cell r="B1296" t="str">
            <v>ÉTER DI-n-PROPÍLICO</v>
          </cell>
          <cell r="C1296">
            <v>333</v>
          </cell>
          <cell r="D1296" t="str">
            <v>1 L</v>
          </cell>
        </row>
        <row r="1297">
          <cell r="A1297">
            <v>2385</v>
          </cell>
          <cell r="B1297" t="str">
            <v>ISOBUTIRATO DE ETILA</v>
          </cell>
          <cell r="C1297">
            <v>333</v>
          </cell>
          <cell r="D1297" t="str">
            <v>1 L</v>
          </cell>
        </row>
        <row r="1298">
          <cell r="A1298">
            <v>2386</v>
          </cell>
          <cell r="B1298" t="str">
            <v>1-ETILPIPERIDINA</v>
          </cell>
          <cell r="C1298">
            <v>333</v>
          </cell>
          <cell r="D1298" t="str">
            <v>1 L</v>
          </cell>
        </row>
        <row r="1299">
          <cell r="A1299">
            <v>2387</v>
          </cell>
          <cell r="B1299" t="str">
            <v>FLUORBENZENO</v>
          </cell>
          <cell r="C1299">
            <v>333</v>
          </cell>
          <cell r="D1299" t="str">
            <v>1 L</v>
          </cell>
        </row>
        <row r="1300">
          <cell r="A1300">
            <v>2388</v>
          </cell>
          <cell r="B1300" t="str">
            <v>FLUORTOLUENOS</v>
          </cell>
          <cell r="C1300">
            <v>333</v>
          </cell>
          <cell r="D1300" t="str">
            <v>1 L</v>
          </cell>
        </row>
        <row r="1301">
          <cell r="A1301">
            <v>2389</v>
          </cell>
          <cell r="B1301" t="str">
            <v>FURANO</v>
          </cell>
          <cell r="C1301">
            <v>20</v>
          </cell>
          <cell r="D1301" t="str">
            <v>ZERO</v>
          </cell>
        </row>
        <row r="1302">
          <cell r="A1302">
            <v>2390</v>
          </cell>
          <cell r="B1302" t="str">
            <v>2-IODOBUTANO</v>
          </cell>
          <cell r="C1302">
            <v>333</v>
          </cell>
          <cell r="D1302" t="str">
            <v>1 L</v>
          </cell>
        </row>
        <row r="1303">
          <cell r="A1303">
            <v>2391</v>
          </cell>
          <cell r="B1303" t="str">
            <v>IODOMETILPROPANOS</v>
          </cell>
          <cell r="C1303">
            <v>333</v>
          </cell>
          <cell r="D1303" t="str">
            <v>1 L</v>
          </cell>
        </row>
        <row r="1304">
          <cell r="A1304">
            <v>2392</v>
          </cell>
          <cell r="B1304" t="str">
            <v>IODOPROPANOS</v>
          </cell>
          <cell r="C1304">
            <v>1000</v>
          </cell>
          <cell r="D1304" t="str">
            <v>5 L</v>
          </cell>
        </row>
        <row r="1305">
          <cell r="A1305">
            <v>2393</v>
          </cell>
          <cell r="B1305" t="str">
            <v>FORMIATO DE ISOBUTILA</v>
          </cell>
          <cell r="C1305">
            <v>333</v>
          </cell>
          <cell r="D1305" t="str">
            <v>1 L</v>
          </cell>
        </row>
        <row r="1306">
          <cell r="A1306">
            <v>2394</v>
          </cell>
          <cell r="B1306" t="str">
            <v>PROPIONATO DE ISOBUTILA</v>
          </cell>
          <cell r="C1306">
            <v>1000</v>
          </cell>
          <cell r="D1306" t="str">
            <v>5 L</v>
          </cell>
        </row>
        <row r="1307">
          <cell r="A1307">
            <v>2395</v>
          </cell>
          <cell r="B1307" t="str">
            <v>CLORETO DE ISOBUTIRILA</v>
          </cell>
          <cell r="C1307">
            <v>333</v>
          </cell>
          <cell r="D1307" t="str">
            <v>1 L</v>
          </cell>
        </row>
        <row r="1308">
          <cell r="A1308">
            <v>2396</v>
          </cell>
          <cell r="B1308" t="str">
            <v>METACRILALDEÍDO, ESTABILIZADO</v>
          </cell>
          <cell r="C1308">
            <v>333</v>
          </cell>
          <cell r="D1308" t="str">
            <v>1 L</v>
          </cell>
        </row>
        <row r="1309">
          <cell r="A1309">
            <v>2397</v>
          </cell>
          <cell r="B1309" t="str">
            <v>3-METILBUTAN-2-ONA</v>
          </cell>
          <cell r="C1309">
            <v>333</v>
          </cell>
          <cell r="D1309" t="str">
            <v>1 L</v>
          </cell>
        </row>
        <row r="1310">
          <cell r="A1310">
            <v>2398</v>
          </cell>
          <cell r="B1310" t="str">
            <v>ÉTER METIL-t-BUTÍLICO</v>
          </cell>
          <cell r="C1310">
            <v>333</v>
          </cell>
          <cell r="D1310" t="str">
            <v>1 L</v>
          </cell>
        </row>
        <row r="1311">
          <cell r="A1311">
            <v>2399</v>
          </cell>
          <cell r="B1311" t="str">
            <v>1-METILPIPERIDINA</v>
          </cell>
          <cell r="C1311">
            <v>333</v>
          </cell>
          <cell r="D1311" t="str">
            <v>1 L</v>
          </cell>
        </row>
        <row r="1312">
          <cell r="A1312">
            <v>2400</v>
          </cell>
          <cell r="B1312" t="str">
            <v>ISOVALERATO DE METILA</v>
          </cell>
          <cell r="C1312">
            <v>333</v>
          </cell>
          <cell r="D1312" t="str">
            <v>1 L</v>
          </cell>
        </row>
        <row r="1313">
          <cell r="A1313">
            <v>2401</v>
          </cell>
          <cell r="B1313" t="str">
            <v>PIPERIDINA</v>
          </cell>
          <cell r="C1313">
            <v>20</v>
          </cell>
          <cell r="D1313" t="str">
            <v>ZERO</v>
          </cell>
        </row>
        <row r="1314">
          <cell r="A1314">
            <v>2402</v>
          </cell>
          <cell r="B1314" t="str">
            <v>PROPANOTIÓIS</v>
          </cell>
          <cell r="C1314">
            <v>333</v>
          </cell>
          <cell r="D1314" t="str">
            <v>1 L</v>
          </cell>
        </row>
        <row r="1315">
          <cell r="A1315">
            <v>2403</v>
          </cell>
          <cell r="B1315" t="str">
            <v>ACETATO DE ISOPROPENILA</v>
          </cell>
          <cell r="C1315">
            <v>333</v>
          </cell>
          <cell r="D1315" t="str">
            <v>1 L</v>
          </cell>
        </row>
        <row r="1316">
          <cell r="A1316">
            <v>2404</v>
          </cell>
          <cell r="B1316" t="str">
            <v>PROPIONITRILA</v>
          </cell>
          <cell r="C1316">
            <v>333</v>
          </cell>
          <cell r="D1316" t="str">
            <v>1 L</v>
          </cell>
        </row>
        <row r="1317">
          <cell r="A1317">
            <v>2405</v>
          </cell>
          <cell r="B1317" t="str">
            <v>BUTIRATO DE ISOPROPILA</v>
          </cell>
          <cell r="C1317">
            <v>1000</v>
          </cell>
          <cell r="D1317" t="str">
            <v>5 L</v>
          </cell>
        </row>
        <row r="1318">
          <cell r="A1318">
            <v>2406</v>
          </cell>
          <cell r="B1318" t="str">
            <v>ISOBUTIRATO DE ISOPROPILA</v>
          </cell>
          <cell r="C1318">
            <v>333</v>
          </cell>
          <cell r="D1318" t="str">
            <v>1 L</v>
          </cell>
        </row>
        <row r="1319">
          <cell r="A1319">
            <v>2407</v>
          </cell>
          <cell r="B1319" t="str">
            <v>CLOROFORMIATO DE ISOPROPILA</v>
          </cell>
          <cell r="C1319">
            <v>20</v>
          </cell>
          <cell r="D1319" t="str">
            <v>ZERO</v>
          </cell>
        </row>
        <row r="1320">
          <cell r="A1320">
            <v>2409</v>
          </cell>
          <cell r="B1320" t="str">
            <v>PROPIONATO DE ISOPROPILA</v>
          </cell>
          <cell r="C1320">
            <v>333</v>
          </cell>
          <cell r="D1320" t="str">
            <v>1 L</v>
          </cell>
        </row>
        <row r="1321">
          <cell r="A1321">
            <v>2410</v>
          </cell>
          <cell r="B1321" t="str">
            <v>1,2,3,6-TETRA-HIDROPIRIDINA</v>
          </cell>
          <cell r="C1321">
            <v>333</v>
          </cell>
          <cell r="D1321" t="str">
            <v>1 L</v>
          </cell>
        </row>
        <row r="1322">
          <cell r="A1322">
            <v>2411</v>
          </cell>
          <cell r="B1322" t="str">
            <v>BUTIRONITRILA</v>
          </cell>
          <cell r="C1322">
            <v>333</v>
          </cell>
          <cell r="D1322" t="str">
            <v>1 L</v>
          </cell>
        </row>
        <row r="1323">
          <cell r="A1323">
            <v>2412</v>
          </cell>
          <cell r="B1323" t="str">
            <v>TETRA-HIDROTIOFENO</v>
          </cell>
          <cell r="C1323">
            <v>333</v>
          </cell>
          <cell r="D1323" t="str">
            <v>1 L</v>
          </cell>
        </row>
        <row r="1324">
          <cell r="A1324">
            <v>2413</v>
          </cell>
          <cell r="B1324" t="str">
            <v>ORTOTITANATO DE TETRAPROPILA</v>
          </cell>
          <cell r="C1324">
            <v>1000</v>
          </cell>
          <cell r="D1324" t="str">
            <v>5 L</v>
          </cell>
        </row>
        <row r="1325">
          <cell r="A1325">
            <v>2414</v>
          </cell>
          <cell r="B1325" t="str">
            <v>TIOFENO</v>
          </cell>
          <cell r="C1325">
            <v>333</v>
          </cell>
          <cell r="D1325" t="str">
            <v>1 L</v>
          </cell>
        </row>
        <row r="1326">
          <cell r="A1326">
            <v>2416</v>
          </cell>
          <cell r="B1326" t="str">
            <v>BORATO DE TRIMETILA</v>
          </cell>
          <cell r="C1326">
            <v>333</v>
          </cell>
          <cell r="D1326" t="str">
            <v>1 L</v>
          </cell>
        </row>
        <row r="1327">
          <cell r="A1327">
            <v>2417</v>
          </cell>
          <cell r="B1327" t="str">
            <v>FLUORETO DE CARBONILA</v>
          </cell>
          <cell r="C1327">
            <v>20</v>
          </cell>
          <cell r="D1327" t="str">
            <v>ZERO</v>
          </cell>
        </row>
        <row r="1328">
          <cell r="A1328">
            <v>2418</v>
          </cell>
          <cell r="B1328" t="str">
            <v>TETRAFLUORETO DE ENXOFRE</v>
          </cell>
          <cell r="C1328">
            <v>20</v>
          </cell>
          <cell r="D1328" t="str">
            <v>ZERO</v>
          </cell>
        </row>
        <row r="1329">
          <cell r="A1329">
            <v>2419</v>
          </cell>
          <cell r="B1329" t="str">
            <v>BROMOTRIFLUORETILENO</v>
          </cell>
          <cell r="C1329">
            <v>333</v>
          </cell>
          <cell r="D1329" t="str">
            <v>ZERO</v>
          </cell>
        </row>
        <row r="1330">
          <cell r="A1330">
            <v>2420</v>
          </cell>
          <cell r="B1330" t="str">
            <v>HEXAFLUORACETONA</v>
          </cell>
          <cell r="C1330">
            <v>20</v>
          </cell>
          <cell r="D1330" t="str">
            <v>ZERO</v>
          </cell>
        </row>
        <row r="1331">
          <cell r="A1331">
            <v>2421</v>
          </cell>
          <cell r="B1331" t="str">
            <v>TRIÓXIDO DE NITROGÊNIO</v>
          </cell>
          <cell r="C1331" t="str">
            <v>ZERO</v>
          </cell>
          <cell r="D1331" t="str">
            <v>ZERO</v>
          </cell>
        </row>
        <row r="1332">
          <cell r="A1332">
            <v>2422</v>
          </cell>
          <cell r="B1332" t="str">
            <v>OCTAFLUORBUT-2-ENO (GÁS REFRIGERANTE R 1318)</v>
          </cell>
          <cell r="C1332">
            <v>1000</v>
          </cell>
          <cell r="D1332" t="str">
            <v>120 ml</v>
          </cell>
        </row>
        <row r="1333">
          <cell r="A1333">
            <v>2424</v>
          </cell>
          <cell r="B1333" t="str">
            <v>OCTAFLUORPROPANO (GÁS REFRIGERANTE R 218)</v>
          </cell>
          <cell r="C1333">
            <v>1000</v>
          </cell>
          <cell r="D1333" t="str">
            <v>120 ml</v>
          </cell>
        </row>
        <row r="1334">
          <cell r="A1334">
            <v>2426</v>
          </cell>
          <cell r="B1334" t="str">
            <v>NITRATO DE AMÔNIO, LÍQUIDO (solução concentrada por aquecimento)</v>
          </cell>
          <cell r="C1334" t="str">
            <v>ZERO</v>
          </cell>
          <cell r="D1334" t="str">
            <v>ZERO</v>
          </cell>
        </row>
        <row r="1335">
          <cell r="A1335">
            <v>2427</v>
          </cell>
          <cell r="B1335" t="str">
            <v>CLORATO DE POTÁSSIO, SOLUÇÃO AQUOSA</v>
          </cell>
          <cell r="C1335">
            <v>333</v>
          </cell>
          <cell r="D1335" t="str">
            <v>1 L</v>
          </cell>
        </row>
        <row r="1336">
          <cell r="A1336">
            <v>2428</v>
          </cell>
          <cell r="B1336" t="str">
            <v>CLORATO DE SÓDIO, SOLUÇÃO AQUOSA</v>
          </cell>
          <cell r="C1336">
            <v>333</v>
          </cell>
          <cell r="D1336" t="str">
            <v>1 L</v>
          </cell>
        </row>
        <row r="1337">
          <cell r="A1337">
            <v>2429</v>
          </cell>
          <cell r="B1337" t="str">
            <v>CLORATO DE CÁLCIO, SOLUÇÃO AQUOSA</v>
          </cell>
          <cell r="C1337">
            <v>333</v>
          </cell>
          <cell r="D1337" t="str">
            <v>1 L</v>
          </cell>
        </row>
        <row r="1338">
          <cell r="A1338">
            <v>2430</v>
          </cell>
          <cell r="B1338" t="str">
            <v>ALQUILFENÓIS, SÓLIDOS, N.E. (incluindo os homólogos C2-C12)</v>
          </cell>
          <cell r="C1338">
            <v>20</v>
          </cell>
          <cell r="D1338" t="str">
            <v>1 kg</v>
          </cell>
        </row>
        <row r="1339">
          <cell r="A1339">
            <v>2431</v>
          </cell>
          <cell r="B1339" t="str">
            <v>ANISIDINAS</v>
          </cell>
          <cell r="C1339">
            <v>333</v>
          </cell>
          <cell r="D1339" t="str">
            <v>5 L</v>
          </cell>
        </row>
        <row r="1340">
          <cell r="A1340">
            <v>2432</v>
          </cell>
          <cell r="B1340" t="str">
            <v>N,N-DIETILANILINA</v>
          </cell>
          <cell r="C1340">
            <v>333</v>
          </cell>
          <cell r="D1340" t="str">
            <v>5 L</v>
          </cell>
        </row>
        <row r="1341">
          <cell r="A1341">
            <v>2433</v>
          </cell>
          <cell r="B1341" t="str">
            <v>CLORONITROTOLUENOS, LÍQUIDOS</v>
          </cell>
          <cell r="C1341">
            <v>333</v>
          </cell>
          <cell r="D1341" t="str">
            <v>5 L</v>
          </cell>
        </row>
        <row r="1342">
          <cell r="A1342">
            <v>2434</v>
          </cell>
          <cell r="B1342" t="str">
            <v>DIBENZILDICLOROSSILANO</v>
          </cell>
          <cell r="C1342">
            <v>333</v>
          </cell>
          <cell r="D1342" t="str">
            <v>ZERO</v>
          </cell>
        </row>
        <row r="1343">
          <cell r="A1343">
            <v>2435</v>
          </cell>
          <cell r="B1343" t="str">
            <v>ETILFENILDICLOROSSILANO</v>
          </cell>
          <cell r="C1343">
            <v>333</v>
          </cell>
          <cell r="D1343" t="str">
            <v>ZERO</v>
          </cell>
        </row>
        <row r="1344">
          <cell r="A1344">
            <v>2436</v>
          </cell>
          <cell r="B1344" t="str">
            <v>ÁCIDO TIOACÉTICO</v>
          </cell>
          <cell r="C1344">
            <v>333</v>
          </cell>
          <cell r="D1344" t="str">
            <v>1 L</v>
          </cell>
        </row>
        <row r="1345">
          <cell r="A1345">
            <v>2437</v>
          </cell>
          <cell r="B1345" t="str">
            <v>METILFENILDICLOROSSILANO</v>
          </cell>
          <cell r="C1345">
            <v>333</v>
          </cell>
          <cell r="D1345" t="str">
            <v>ZERO</v>
          </cell>
        </row>
        <row r="1346">
          <cell r="A1346">
            <v>2438</v>
          </cell>
          <cell r="B1346" t="str">
            <v>CLORETO DE TRIMETILACETILA</v>
          </cell>
          <cell r="C1346">
            <v>20</v>
          </cell>
          <cell r="D1346" t="str">
            <v>ZERO</v>
          </cell>
        </row>
        <row r="1347">
          <cell r="A1347">
            <v>2439</v>
          </cell>
          <cell r="B1347" t="str">
            <v>HIDROGENODIFLUORETO DE SÓDIO</v>
          </cell>
          <cell r="C1347">
            <v>333</v>
          </cell>
          <cell r="D1347" t="str">
            <v>1 kg</v>
          </cell>
        </row>
        <row r="1348">
          <cell r="A1348">
            <v>2440</v>
          </cell>
          <cell r="B1348" t="str">
            <v>CLORETO ESTÂNICO, PENTAHIDRATADO</v>
          </cell>
          <cell r="C1348">
            <v>1000</v>
          </cell>
          <cell r="D1348" t="str">
            <v>5 kg</v>
          </cell>
        </row>
        <row r="1349">
          <cell r="A1349">
            <v>2441</v>
          </cell>
          <cell r="B1349" t="str">
            <v>TRICLORETO DE TITÂNIO, PIROFÓRICO ou MISTURA DE TRICLORETO DE TITÂNIO, PIROFÓRICA</v>
          </cell>
          <cell r="C1349" t="str">
            <v>ZERO</v>
          </cell>
          <cell r="D1349" t="str">
            <v>ZERO</v>
          </cell>
        </row>
        <row r="1350">
          <cell r="A1350">
            <v>2442</v>
          </cell>
          <cell r="B1350" t="str">
            <v>CLORETO DE TRICLOROACETILA</v>
          </cell>
          <cell r="C1350">
            <v>333</v>
          </cell>
          <cell r="D1350" t="str">
            <v>ZERO</v>
          </cell>
        </row>
        <row r="1351">
          <cell r="A1351">
            <v>2443</v>
          </cell>
          <cell r="B1351" t="str">
            <v>OXITRICLORETO DE VANÁDIO</v>
          </cell>
          <cell r="C1351">
            <v>333</v>
          </cell>
          <cell r="D1351" t="str">
            <v>1 L</v>
          </cell>
        </row>
        <row r="1352">
          <cell r="A1352">
            <v>2444</v>
          </cell>
          <cell r="B1352" t="str">
            <v>TETRACLORETO DE VANÁDIO</v>
          </cell>
          <cell r="C1352">
            <v>20</v>
          </cell>
          <cell r="D1352" t="str">
            <v>ZERO</v>
          </cell>
        </row>
        <row r="1353">
          <cell r="A1353">
            <v>2446</v>
          </cell>
          <cell r="B1353" t="str">
            <v>NITROCRESÓIS, SÓLIDO</v>
          </cell>
          <cell r="C1353">
            <v>333</v>
          </cell>
          <cell r="D1353" t="str">
            <v>5 kg</v>
          </cell>
        </row>
        <row r="1354">
          <cell r="A1354">
            <v>2447</v>
          </cell>
          <cell r="B1354" t="str">
            <v>FÓSFORO, BRANCO, FUNDIDO</v>
          </cell>
          <cell r="C1354" t="str">
            <v>ZERO</v>
          </cell>
          <cell r="D1354" t="str">
            <v>ZERO</v>
          </cell>
        </row>
        <row r="1355">
          <cell r="A1355">
            <v>2448</v>
          </cell>
          <cell r="B1355" t="str">
            <v>ENXOFRE, FUNDIDO</v>
          </cell>
          <cell r="C1355">
            <v>1000</v>
          </cell>
          <cell r="D1355" t="str">
            <v>ZERO</v>
          </cell>
        </row>
        <row r="1356">
          <cell r="A1356">
            <v>2451</v>
          </cell>
          <cell r="B1356" t="str">
            <v>TRIFLUORETO DE NITROGÊNIO</v>
          </cell>
          <cell r="C1356">
            <v>1000</v>
          </cell>
          <cell r="D1356" t="str">
            <v>ZERO</v>
          </cell>
        </row>
        <row r="1357">
          <cell r="A1357">
            <v>2452</v>
          </cell>
          <cell r="B1357" t="str">
            <v>ETILACETILENO, ESTABILIZADO</v>
          </cell>
          <cell r="C1357">
            <v>333</v>
          </cell>
          <cell r="D1357" t="str">
            <v>ZERO</v>
          </cell>
        </row>
        <row r="1358">
          <cell r="A1358">
            <v>2453</v>
          </cell>
          <cell r="B1358" t="str">
            <v>FLUORETO DE ETILA (GÁS REGRIGERANTE R 161)</v>
          </cell>
          <cell r="C1358">
            <v>333</v>
          </cell>
          <cell r="D1358" t="str">
            <v>ZERO</v>
          </cell>
        </row>
        <row r="1359">
          <cell r="A1359">
            <v>2454</v>
          </cell>
          <cell r="B1359" t="str">
            <v>FLUORETO DE METILA (GÁS REFRIGERANTE R 41)</v>
          </cell>
          <cell r="C1359">
            <v>333</v>
          </cell>
          <cell r="D1359" t="str">
            <v>ZERO</v>
          </cell>
        </row>
        <row r="1360">
          <cell r="A1360">
            <v>2455</v>
          </cell>
          <cell r="B1360" t="str">
            <v>NITRITO DE METILA</v>
          </cell>
          <cell r="C1360" t="str">
            <v>ZERO</v>
          </cell>
          <cell r="D1360" t="str">
            <v>120 ml</v>
          </cell>
        </row>
        <row r="1361">
          <cell r="A1361">
            <v>2456</v>
          </cell>
          <cell r="B1361" t="str">
            <v>2-CLOROPROPENO</v>
          </cell>
          <cell r="C1361">
            <v>20</v>
          </cell>
          <cell r="D1361" t="str">
            <v>ZERO</v>
          </cell>
        </row>
        <row r="1362">
          <cell r="A1362">
            <v>2457</v>
          </cell>
          <cell r="B1362" t="str">
            <v>2,3-DIMETILBUTANO</v>
          </cell>
          <cell r="C1362">
            <v>333</v>
          </cell>
          <cell r="D1362" t="str">
            <v>1 L</v>
          </cell>
        </row>
        <row r="1363">
          <cell r="A1363">
            <v>2458</v>
          </cell>
          <cell r="B1363" t="str">
            <v>HEXADIENO</v>
          </cell>
          <cell r="C1363">
            <v>333</v>
          </cell>
          <cell r="D1363" t="str">
            <v>1 L</v>
          </cell>
        </row>
        <row r="1364">
          <cell r="A1364">
            <v>2459</v>
          </cell>
          <cell r="B1364" t="str">
            <v>2-METIL-1-BUTENO</v>
          </cell>
          <cell r="C1364">
            <v>20</v>
          </cell>
          <cell r="D1364" t="str">
            <v>ZERO</v>
          </cell>
        </row>
        <row r="1365">
          <cell r="A1365">
            <v>2460</v>
          </cell>
          <cell r="B1365" t="str">
            <v>2-METIL-2-BUTENO</v>
          </cell>
          <cell r="C1365">
            <v>333</v>
          </cell>
          <cell r="D1365" t="str">
            <v>1 L</v>
          </cell>
        </row>
        <row r="1366">
          <cell r="A1366">
            <v>2461</v>
          </cell>
          <cell r="B1366" t="str">
            <v>METILPENTADIENO</v>
          </cell>
          <cell r="C1366">
            <v>333</v>
          </cell>
          <cell r="D1366" t="str">
            <v>1 L</v>
          </cell>
        </row>
        <row r="1367">
          <cell r="A1367">
            <v>2463</v>
          </cell>
          <cell r="B1367" t="str">
            <v>HIDRETO DE ALUMÍNIO</v>
          </cell>
          <cell r="C1367">
            <v>20</v>
          </cell>
          <cell r="D1367" t="str">
            <v>ZERO</v>
          </cell>
        </row>
        <row r="1368">
          <cell r="A1368">
            <v>2464</v>
          </cell>
          <cell r="B1368" t="str">
            <v>NITRATO DE BERÍLIO</v>
          </cell>
          <cell r="C1368">
            <v>333</v>
          </cell>
          <cell r="D1368" t="str">
            <v>1 kg</v>
          </cell>
        </row>
        <row r="1369">
          <cell r="A1369">
            <v>2465</v>
          </cell>
          <cell r="B1369" t="str">
            <v>ÁCIDO DICLOROISOCIANÚRICO, SECO, ou SAIS DE ÁCIDO DICLOROISOCIANÚRICO</v>
          </cell>
          <cell r="C1369">
            <v>333</v>
          </cell>
          <cell r="D1369" t="str">
            <v>1 kg</v>
          </cell>
        </row>
        <row r="1370">
          <cell r="A1370">
            <v>2466</v>
          </cell>
          <cell r="B1370" t="str">
            <v>SUPERÓXIDO DE POTÁSSIO</v>
          </cell>
          <cell r="C1370">
            <v>20</v>
          </cell>
          <cell r="D1370" t="str">
            <v>ZERO</v>
          </cell>
        </row>
        <row r="1371">
          <cell r="A1371">
            <v>2468</v>
          </cell>
          <cell r="B1371" t="str">
            <v>ÁCIDO TRICLOROISOCIANÚRICO, SECO</v>
          </cell>
          <cell r="C1371">
            <v>333</v>
          </cell>
          <cell r="D1371" t="str">
            <v>1 kg</v>
          </cell>
        </row>
        <row r="1372">
          <cell r="A1372">
            <v>2469</v>
          </cell>
          <cell r="B1372" t="str">
            <v>BROMATO DE ZINCO</v>
          </cell>
          <cell r="C1372">
            <v>1000</v>
          </cell>
          <cell r="D1372" t="str">
            <v>5 kg</v>
          </cell>
        </row>
        <row r="1373">
          <cell r="A1373">
            <v>2470</v>
          </cell>
          <cell r="B1373" t="str">
            <v>FENILACETONITRILA, LÍQUIDA</v>
          </cell>
          <cell r="C1373">
            <v>333</v>
          </cell>
          <cell r="D1373" t="str">
            <v>5 L</v>
          </cell>
        </row>
        <row r="1374">
          <cell r="A1374">
            <v>2471</v>
          </cell>
          <cell r="B1374" t="str">
            <v>TETRÓXIDO DE ÓSMIO</v>
          </cell>
          <cell r="C1374">
            <v>20</v>
          </cell>
          <cell r="D1374" t="str">
            <v>ZERO</v>
          </cell>
        </row>
        <row r="1375">
          <cell r="A1375">
            <v>2473</v>
          </cell>
          <cell r="B1375" t="str">
            <v>ARSANILATO DE SÓDIO</v>
          </cell>
          <cell r="C1375">
            <v>333</v>
          </cell>
          <cell r="D1375" t="str">
            <v>5 kg</v>
          </cell>
        </row>
        <row r="1376">
          <cell r="A1376">
            <v>2474</v>
          </cell>
          <cell r="B1376" t="str">
            <v>TIOFOSGÊNIO</v>
          </cell>
          <cell r="C1376">
            <v>333</v>
          </cell>
          <cell r="D1376" t="str">
            <v>ZERO</v>
          </cell>
        </row>
        <row r="1377">
          <cell r="A1377">
            <v>2475</v>
          </cell>
          <cell r="B1377" t="str">
            <v>TRICLORETO DE VANÁDIO</v>
          </cell>
          <cell r="C1377">
            <v>1000</v>
          </cell>
          <cell r="D1377" t="str">
            <v>5 kg</v>
          </cell>
        </row>
        <row r="1378">
          <cell r="A1378">
            <v>2477</v>
          </cell>
          <cell r="B1378" t="str">
            <v>ISOTIOCIANATO DE METILA</v>
          </cell>
          <cell r="C1378">
            <v>20</v>
          </cell>
          <cell r="D1378" t="str">
            <v>ZERO</v>
          </cell>
        </row>
        <row r="1379">
          <cell r="A1379">
            <v>2478</v>
          </cell>
          <cell r="B1379" t="str">
            <v>ISOCIANATOS, INFLAMÁVEIS, TÓXICOS, N.E. ou SOLUÇÃO DE ISOCIANATOS, INFLAMÁVEL, TÓXICA, N.E.</v>
          </cell>
          <cell r="C1379">
            <v>333</v>
          </cell>
          <cell r="D1379" t="str">
            <v>1 L</v>
          </cell>
        </row>
        <row r="1380">
          <cell r="A1380">
            <v>2480</v>
          </cell>
          <cell r="B1380" t="str">
            <v>ISOCIANATO DE METILA</v>
          </cell>
          <cell r="C1380">
            <v>20</v>
          </cell>
          <cell r="D1380" t="str">
            <v>ZERO</v>
          </cell>
        </row>
        <row r="1381">
          <cell r="A1381">
            <v>2481</v>
          </cell>
          <cell r="B1381" t="str">
            <v>ISOCIANATO DE ETILA</v>
          </cell>
          <cell r="C1381">
            <v>20</v>
          </cell>
          <cell r="D1381" t="str">
            <v>ZERO</v>
          </cell>
        </row>
        <row r="1382">
          <cell r="A1382">
            <v>2482</v>
          </cell>
          <cell r="B1382" t="str">
            <v>ISOCIANATO DE n-PROPILA</v>
          </cell>
          <cell r="C1382">
            <v>20</v>
          </cell>
          <cell r="D1382" t="str">
            <v>ZERO</v>
          </cell>
        </row>
        <row r="1383">
          <cell r="A1383">
            <v>2483</v>
          </cell>
          <cell r="B1383" t="str">
            <v>ISOCIANATO DE ISOPROPILA</v>
          </cell>
          <cell r="C1383">
            <v>20</v>
          </cell>
          <cell r="D1383" t="str">
            <v>ZERO</v>
          </cell>
        </row>
        <row r="1384">
          <cell r="A1384">
            <v>2484</v>
          </cell>
          <cell r="B1384" t="str">
            <v>ISOCIANATO DE t-BUTILA</v>
          </cell>
          <cell r="C1384">
            <v>20</v>
          </cell>
          <cell r="D1384" t="str">
            <v>ZERO</v>
          </cell>
        </row>
        <row r="1385">
          <cell r="A1385">
            <v>2485</v>
          </cell>
          <cell r="B1385" t="str">
            <v>ISOCIANATO DE n-BUTILA</v>
          </cell>
          <cell r="C1385">
            <v>20</v>
          </cell>
          <cell r="D1385" t="str">
            <v>ZERO</v>
          </cell>
        </row>
        <row r="1386">
          <cell r="A1386">
            <v>2486</v>
          </cell>
          <cell r="B1386" t="str">
            <v>ISOCIANATO DE ISOBUTILA</v>
          </cell>
          <cell r="C1386">
            <v>333</v>
          </cell>
          <cell r="D1386" t="str">
            <v>ZERO</v>
          </cell>
        </row>
        <row r="1387">
          <cell r="A1387">
            <v>2487</v>
          </cell>
          <cell r="B1387" t="str">
            <v>ISOCIANATO DE FENILA</v>
          </cell>
          <cell r="C1387">
            <v>20</v>
          </cell>
          <cell r="D1387" t="str">
            <v>ZERO</v>
          </cell>
        </row>
        <row r="1388">
          <cell r="A1388">
            <v>2488</v>
          </cell>
          <cell r="B1388" t="str">
            <v>ISOCIANATO DE CICLO-HEXILA</v>
          </cell>
          <cell r="C1388">
            <v>20</v>
          </cell>
          <cell r="D1388" t="str">
            <v>ZERO</v>
          </cell>
        </row>
        <row r="1389">
          <cell r="A1389">
            <v>2490</v>
          </cell>
          <cell r="B1389" t="str">
            <v>ÉTER DICLOROISOPROPÍLICO</v>
          </cell>
          <cell r="C1389">
            <v>333</v>
          </cell>
          <cell r="D1389" t="str">
            <v>100 ml</v>
          </cell>
        </row>
        <row r="1390">
          <cell r="A1390">
            <v>2491</v>
          </cell>
          <cell r="B1390" t="str">
            <v>ETANOLAMINA ou SOLUÇÃO DE ETANOLAMINA</v>
          </cell>
          <cell r="C1390">
            <v>1000</v>
          </cell>
          <cell r="D1390" t="str">
            <v>5 L</v>
          </cell>
        </row>
        <row r="1391">
          <cell r="A1391">
            <v>2493</v>
          </cell>
          <cell r="B1391" t="str">
            <v>HEXAMETILENOIMINA</v>
          </cell>
          <cell r="C1391">
            <v>333</v>
          </cell>
          <cell r="D1391" t="str">
            <v>1 L</v>
          </cell>
        </row>
        <row r="1392">
          <cell r="A1392">
            <v>2495</v>
          </cell>
          <cell r="B1392" t="str">
            <v>PENTAFLUORETO DE IODO</v>
          </cell>
          <cell r="C1392">
            <v>20</v>
          </cell>
          <cell r="D1392" t="str">
            <v>ZERO</v>
          </cell>
        </row>
        <row r="1393">
          <cell r="A1393">
            <v>2496</v>
          </cell>
          <cell r="B1393" t="str">
            <v>ANIDRIDRO PROPIÔNICO</v>
          </cell>
          <cell r="C1393">
            <v>1000</v>
          </cell>
          <cell r="D1393" t="str">
            <v>5 L</v>
          </cell>
        </row>
        <row r="1394">
          <cell r="A1394">
            <v>2498</v>
          </cell>
          <cell r="B1394" t="str">
            <v>1,2,3,6-TETRA-HIDROBENZALDEÍDO</v>
          </cell>
          <cell r="C1394">
            <v>1000</v>
          </cell>
          <cell r="D1394" t="str">
            <v>5 L</v>
          </cell>
        </row>
        <row r="1395">
          <cell r="A1395">
            <v>2501</v>
          </cell>
          <cell r="B1395" t="str">
            <v>ÓXIDO DE TRIS-(1-AZIRIDINIL) FOSFINA, SOLUÇÃO</v>
          </cell>
          <cell r="C1395">
            <v>333</v>
          </cell>
          <cell r="D1395" t="str">
            <v>100 ml</v>
          </cell>
        </row>
        <row r="1396">
          <cell r="A1396">
            <v>2502</v>
          </cell>
          <cell r="B1396" t="str">
            <v>CLORETO DE VALERILA</v>
          </cell>
          <cell r="C1396">
            <v>333</v>
          </cell>
          <cell r="D1396" t="str">
            <v>1 L</v>
          </cell>
        </row>
        <row r="1397">
          <cell r="A1397">
            <v>2503</v>
          </cell>
          <cell r="B1397" t="str">
            <v>TETRACLORETO DE ZIRCÔNIO</v>
          </cell>
          <cell r="C1397">
            <v>1000</v>
          </cell>
          <cell r="D1397" t="str">
            <v>5 kg</v>
          </cell>
        </row>
        <row r="1398">
          <cell r="A1398">
            <v>2504</v>
          </cell>
          <cell r="B1398" t="str">
            <v>TETRABROMOETANO</v>
          </cell>
          <cell r="C1398">
            <v>333</v>
          </cell>
          <cell r="D1398" t="str">
            <v>5 L</v>
          </cell>
        </row>
        <row r="1399">
          <cell r="A1399">
            <v>2505</v>
          </cell>
          <cell r="B1399" t="str">
            <v>FLUORETO DE AMÔNIO</v>
          </cell>
          <cell r="C1399">
            <v>333</v>
          </cell>
          <cell r="D1399" t="str">
            <v>5 kg</v>
          </cell>
        </row>
        <row r="1400">
          <cell r="A1400">
            <v>2506</v>
          </cell>
          <cell r="B1400" t="str">
            <v>HIDROGENOSSULFATO DE AMÔNIO</v>
          </cell>
          <cell r="C1400">
            <v>333</v>
          </cell>
          <cell r="D1400" t="str">
            <v>1 kg</v>
          </cell>
        </row>
        <row r="1401">
          <cell r="A1401">
            <v>2507</v>
          </cell>
          <cell r="B1401" t="str">
            <v>ÁCIDO CLOROPLATÍNICO, SÓLIDO</v>
          </cell>
          <cell r="C1401">
            <v>1000</v>
          </cell>
          <cell r="D1401" t="str">
            <v>5 kg</v>
          </cell>
        </row>
        <row r="1402">
          <cell r="A1402">
            <v>2508</v>
          </cell>
          <cell r="B1402" t="str">
            <v>PENTACLORETO DE MOLIBDÊNIO</v>
          </cell>
          <cell r="C1402">
            <v>1000</v>
          </cell>
          <cell r="D1402" t="str">
            <v>5 kg</v>
          </cell>
        </row>
        <row r="1403">
          <cell r="A1403">
            <v>2509</v>
          </cell>
          <cell r="B1403" t="str">
            <v>HIDROGENOSSULFATO DE POTÁSSIO</v>
          </cell>
          <cell r="C1403">
            <v>333</v>
          </cell>
          <cell r="D1403" t="str">
            <v>1 kg</v>
          </cell>
        </row>
        <row r="1404">
          <cell r="A1404">
            <v>2511</v>
          </cell>
          <cell r="B1404" t="str">
            <v>ÁCIDO 2-CLOROPROPIÔNICO</v>
          </cell>
          <cell r="C1404">
            <v>1000</v>
          </cell>
          <cell r="D1404" t="str">
            <v>5 L</v>
          </cell>
        </row>
        <row r="1405">
          <cell r="A1405">
            <v>2512</v>
          </cell>
          <cell r="B1405" t="str">
            <v>AMINOFENÓIS (o-,m-,p-)</v>
          </cell>
          <cell r="C1405">
            <v>333</v>
          </cell>
          <cell r="D1405" t="str">
            <v>5 kg</v>
          </cell>
        </row>
        <row r="1406">
          <cell r="A1406">
            <v>2513</v>
          </cell>
          <cell r="B1406" t="str">
            <v>BROMETO DE BROMOACETILA</v>
          </cell>
          <cell r="C1406">
            <v>333</v>
          </cell>
          <cell r="D1406" t="str">
            <v>1 L</v>
          </cell>
        </row>
        <row r="1407">
          <cell r="A1407">
            <v>2514</v>
          </cell>
          <cell r="B1407" t="str">
            <v>BROMOBENZENO</v>
          </cell>
          <cell r="C1407">
            <v>1000</v>
          </cell>
          <cell r="D1407" t="str">
            <v>5 L</v>
          </cell>
        </row>
        <row r="1408">
          <cell r="A1408">
            <v>2515</v>
          </cell>
          <cell r="B1408" t="str">
            <v>BROMOFÓRMIO</v>
          </cell>
          <cell r="C1408">
            <v>333</v>
          </cell>
          <cell r="D1408" t="str">
            <v>5 L</v>
          </cell>
        </row>
        <row r="1409">
          <cell r="A1409">
            <v>2516</v>
          </cell>
          <cell r="B1409" t="str">
            <v>TETRABROMETO DE CARBONO</v>
          </cell>
          <cell r="C1409">
            <v>333</v>
          </cell>
          <cell r="D1409" t="str">
            <v>5 kg</v>
          </cell>
        </row>
        <row r="1410">
          <cell r="A1410">
            <v>2517</v>
          </cell>
          <cell r="B1410" t="str">
            <v>1-CLORO-1,1-DIFLUORETANO (GÁS REFRIGERANTE R 142 b)</v>
          </cell>
          <cell r="C1410">
            <v>333</v>
          </cell>
          <cell r="D1410" t="str">
            <v>ZERO</v>
          </cell>
        </row>
        <row r="1411">
          <cell r="A1411">
            <v>2518</v>
          </cell>
          <cell r="B1411" t="str">
            <v>1,5,9-CICLODODECATRIENO</v>
          </cell>
          <cell r="C1411">
            <v>333</v>
          </cell>
          <cell r="D1411" t="str">
            <v>5 L</v>
          </cell>
        </row>
        <row r="1412">
          <cell r="A1412">
            <v>2520</v>
          </cell>
          <cell r="B1412" t="str">
            <v>CICLOOCTADIENOS</v>
          </cell>
          <cell r="C1412">
            <v>1000</v>
          </cell>
          <cell r="D1412" t="str">
            <v>5 L</v>
          </cell>
        </row>
        <row r="1413">
          <cell r="A1413">
            <v>2521</v>
          </cell>
          <cell r="B1413" t="str">
            <v>DICETENO, ESTABILIZADO</v>
          </cell>
          <cell r="C1413">
            <v>20</v>
          </cell>
          <cell r="D1413" t="str">
            <v>ZERO</v>
          </cell>
        </row>
        <row r="1414">
          <cell r="A1414">
            <v>2522</v>
          </cell>
          <cell r="B1414" t="str">
            <v>METACRILATO DE 2-DIMETILAMINOETILA</v>
          </cell>
          <cell r="C1414">
            <v>333</v>
          </cell>
          <cell r="D1414" t="str">
            <v>100 ml</v>
          </cell>
        </row>
        <row r="1415">
          <cell r="A1415">
            <v>2524</v>
          </cell>
          <cell r="B1415" t="str">
            <v>ORTOFORMIATO DE ETILA</v>
          </cell>
          <cell r="C1415">
            <v>1000</v>
          </cell>
          <cell r="D1415" t="str">
            <v>5 L</v>
          </cell>
        </row>
        <row r="1416">
          <cell r="A1416">
            <v>2525</v>
          </cell>
          <cell r="B1416" t="str">
            <v>OXALATO DE ETILA</v>
          </cell>
          <cell r="C1416">
            <v>333</v>
          </cell>
          <cell r="D1416" t="str">
            <v>5 L</v>
          </cell>
        </row>
        <row r="1417">
          <cell r="A1417">
            <v>2526</v>
          </cell>
          <cell r="B1417" t="str">
            <v>FURFURILAMINA</v>
          </cell>
          <cell r="C1417">
            <v>1000</v>
          </cell>
          <cell r="D1417" t="str">
            <v>5 L</v>
          </cell>
        </row>
        <row r="1418">
          <cell r="A1418">
            <v>2527</v>
          </cell>
          <cell r="B1418" t="str">
            <v>ACRILATO DE ISOBUTILA, ESTABILIZADO</v>
          </cell>
          <cell r="C1418">
            <v>1000</v>
          </cell>
          <cell r="D1418" t="str">
            <v>5 L</v>
          </cell>
        </row>
        <row r="1419">
          <cell r="A1419">
            <v>2528</v>
          </cell>
          <cell r="B1419" t="str">
            <v>ISOBUTIRATO DE ISOBUTILA</v>
          </cell>
          <cell r="C1419">
            <v>1000</v>
          </cell>
          <cell r="D1419" t="str">
            <v>5 L</v>
          </cell>
        </row>
        <row r="1420">
          <cell r="A1420">
            <v>2529</v>
          </cell>
          <cell r="B1420" t="str">
            <v>ÁCIDO ISOBUTÍRICO</v>
          </cell>
          <cell r="C1420">
            <v>1000</v>
          </cell>
          <cell r="D1420" t="str">
            <v>5 L</v>
          </cell>
        </row>
        <row r="1421">
          <cell r="A1421">
            <v>2531</v>
          </cell>
          <cell r="B1421" t="str">
            <v>ÁCIDO METACRÍLICO, ESTABILIZADO</v>
          </cell>
          <cell r="C1421">
            <v>333</v>
          </cell>
          <cell r="D1421" t="str">
            <v>1 L</v>
          </cell>
        </row>
        <row r="1422">
          <cell r="A1422">
            <v>2533</v>
          </cell>
          <cell r="B1422" t="str">
            <v>TRICLOROACETATO DE METILA</v>
          </cell>
          <cell r="C1422">
            <v>333</v>
          </cell>
          <cell r="D1422" t="str">
            <v>5 L</v>
          </cell>
        </row>
        <row r="1423">
          <cell r="A1423">
            <v>2534</v>
          </cell>
          <cell r="B1423" t="str">
            <v>METILCLOROSSILANO</v>
          </cell>
          <cell r="C1423">
            <v>20</v>
          </cell>
          <cell r="D1423" t="str">
            <v>ZERO</v>
          </cell>
        </row>
        <row r="1424">
          <cell r="A1424">
            <v>2535</v>
          </cell>
          <cell r="B1424" t="str">
            <v>4-METILMORFOLINA (N-METILMORFOLINA)</v>
          </cell>
          <cell r="C1424">
            <v>333</v>
          </cell>
          <cell r="D1424" t="str">
            <v>1 L</v>
          </cell>
        </row>
        <row r="1425">
          <cell r="A1425">
            <v>2536</v>
          </cell>
          <cell r="B1425" t="str">
            <v>METILTETRA-HIDROFURANO</v>
          </cell>
          <cell r="C1425">
            <v>333</v>
          </cell>
          <cell r="D1425" t="str">
            <v>1 L</v>
          </cell>
        </row>
        <row r="1426">
          <cell r="A1426">
            <v>2538</v>
          </cell>
          <cell r="B1426" t="str">
            <v>NITRONAFTALENO</v>
          </cell>
          <cell r="C1426">
            <v>1000</v>
          </cell>
          <cell r="D1426" t="str">
            <v>5 kg</v>
          </cell>
        </row>
        <row r="1427">
          <cell r="A1427">
            <v>2541</v>
          </cell>
          <cell r="B1427" t="str">
            <v>TERPINOLENO</v>
          </cell>
          <cell r="C1427">
            <v>1000</v>
          </cell>
          <cell r="D1427" t="str">
            <v>5 L</v>
          </cell>
        </row>
        <row r="1428">
          <cell r="A1428">
            <v>2542</v>
          </cell>
          <cell r="B1428" t="str">
            <v>TRIBUTILAMINA</v>
          </cell>
          <cell r="C1428">
            <v>333</v>
          </cell>
          <cell r="D1428" t="str">
            <v>100 ml</v>
          </cell>
        </row>
        <row r="1429">
          <cell r="A1429">
            <v>2545</v>
          </cell>
          <cell r="B1429" t="str">
            <v>HÁFNIO EM PÓ, SECO</v>
          </cell>
          <cell r="C1429" t="str">
            <v>ZERO</v>
          </cell>
          <cell r="D1429" t="str">
            <v>ZERO</v>
          </cell>
        </row>
        <row r="1430">
          <cell r="A1430">
            <v>2546</v>
          </cell>
          <cell r="B1430" t="str">
            <v>TITÂNIO EM PÓ, SECO</v>
          </cell>
          <cell r="C1430" t="str">
            <v>ZERO</v>
          </cell>
          <cell r="D1430" t="str">
            <v>ZERO</v>
          </cell>
        </row>
        <row r="1431">
          <cell r="A1431">
            <v>2547</v>
          </cell>
          <cell r="B1431" t="str">
            <v>SUPERÓXIDO DE SÓDIO</v>
          </cell>
          <cell r="C1431">
            <v>20</v>
          </cell>
          <cell r="D1431" t="str">
            <v>ZERO</v>
          </cell>
        </row>
        <row r="1432">
          <cell r="A1432">
            <v>2548</v>
          </cell>
          <cell r="B1432" t="str">
            <v>PENTAFLUORETO DE CLORO</v>
          </cell>
          <cell r="C1432">
            <v>20</v>
          </cell>
          <cell r="D1432" t="str">
            <v>ZERO</v>
          </cell>
        </row>
        <row r="1433">
          <cell r="A1433">
            <v>2552</v>
          </cell>
          <cell r="B1433" t="str">
            <v>HIDRATO DE HEXAFLUORACETONA, LÍQUIDO</v>
          </cell>
          <cell r="C1433">
            <v>333</v>
          </cell>
          <cell r="D1433" t="str">
            <v>100 ml</v>
          </cell>
        </row>
        <row r="1434">
          <cell r="A1434">
            <v>2554</v>
          </cell>
          <cell r="B1434" t="str">
            <v>CLORETO DE METILALILA</v>
          </cell>
          <cell r="C1434">
            <v>333</v>
          </cell>
          <cell r="D1434" t="str">
            <v>1 L</v>
          </cell>
        </row>
        <row r="1435">
          <cell r="A1435">
            <v>2555</v>
          </cell>
          <cell r="B1435" t="str">
            <v>NITROCELULOSE, COM ÁGUA (no mínimo 25% de água, em massa)</v>
          </cell>
          <cell r="C1435">
            <v>333</v>
          </cell>
          <cell r="D1435" t="str">
            <v>ZERO</v>
          </cell>
        </row>
        <row r="1436">
          <cell r="A1436">
            <v>2556</v>
          </cell>
          <cell r="B1436" t="str">
            <v>NITROCELULOSE COM ÁLCOOL (no mínimo 25% de álcool, em massa, e com até 12,6% de nitrogênio, por massa seca)</v>
          </cell>
          <cell r="C1436">
            <v>333</v>
          </cell>
          <cell r="D1436" t="str">
            <v>ZERO</v>
          </cell>
        </row>
        <row r="1437">
          <cell r="A1437">
            <v>2557</v>
          </cell>
          <cell r="B1437" t="str">
            <v>NITROCELULOSE, com até 12,6% de nitrogênio, por massa seca, MISTURA COM ou  SEM PLASTIFICANTE,  COM ou SEM PIGMENTO</v>
          </cell>
          <cell r="C1437">
            <v>333</v>
          </cell>
          <cell r="D1437" t="str">
            <v>ZERO</v>
          </cell>
        </row>
        <row r="1438">
          <cell r="A1438">
            <v>2558</v>
          </cell>
          <cell r="B1438" t="str">
            <v>EPIBROMIDRINA</v>
          </cell>
          <cell r="C1438">
            <v>20</v>
          </cell>
          <cell r="D1438" t="str">
            <v>ZERO</v>
          </cell>
        </row>
        <row r="1439">
          <cell r="A1439">
            <v>2560</v>
          </cell>
          <cell r="B1439" t="str">
            <v>2-METILPENTAN-2-OL</v>
          </cell>
          <cell r="C1439">
            <v>1000</v>
          </cell>
          <cell r="D1439" t="str">
            <v>5 L</v>
          </cell>
        </row>
        <row r="1440">
          <cell r="A1440">
            <v>2561</v>
          </cell>
          <cell r="B1440" t="str">
            <v>3-METIL-1-BUTENO</v>
          </cell>
          <cell r="C1440">
            <v>20</v>
          </cell>
          <cell r="D1440" t="str">
            <v>ZERO</v>
          </cell>
        </row>
        <row r="1441">
          <cell r="A1441">
            <v>2564</v>
          </cell>
          <cell r="B1441" t="str">
            <v>ÁCIDO TRICLOROACÉTICO SOLUÇÃO</v>
          </cell>
          <cell r="C1441">
            <v>333</v>
          </cell>
          <cell r="D1441" t="str">
            <v>1 L</v>
          </cell>
        </row>
        <row r="1442">
          <cell r="A1442">
            <v>2565</v>
          </cell>
          <cell r="B1442" t="str">
            <v>DICICLO-HEXILAMINA</v>
          </cell>
          <cell r="C1442">
            <v>1000</v>
          </cell>
          <cell r="D1442" t="str">
            <v>5 L</v>
          </cell>
        </row>
        <row r="1443">
          <cell r="A1443">
            <v>2567</v>
          </cell>
          <cell r="B1443" t="str">
            <v>PENTACLOROFENATO DE SÓDIO</v>
          </cell>
          <cell r="C1443">
            <v>333</v>
          </cell>
          <cell r="D1443" t="str">
            <v>500 g</v>
          </cell>
        </row>
        <row r="1444">
          <cell r="A1444">
            <v>2570</v>
          </cell>
          <cell r="B1444" t="str">
            <v>CÁDMIO COMPOSTO</v>
          </cell>
          <cell r="C1444">
            <v>20</v>
          </cell>
          <cell r="D1444" t="str">
            <v>5 kg</v>
          </cell>
        </row>
        <row r="1445">
          <cell r="A1445">
            <v>2571</v>
          </cell>
          <cell r="B1445" t="str">
            <v>ÁCIDOS ALQUILSULFÚRICOS</v>
          </cell>
          <cell r="C1445">
            <v>333</v>
          </cell>
          <cell r="D1445" t="str">
            <v>1 L</v>
          </cell>
        </row>
        <row r="1446">
          <cell r="A1446">
            <v>2572</v>
          </cell>
          <cell r="B1446" t="str">
            <v>FENIL-HIDRAZINA</v>
          </cell>
          <cell r="C1446">
            <v>333</v>
          </cell>
          <cell r="D1446" t="str">
            <v>100 ml</v>
          </cell>
        </row>
        <row r="1447">
          <cell r="A1447">
            <v>2573</v>
          </cell>
          <cell r="B1447" t="str">
            <v>CLORATO DE TÁLIO</v>
          </cell>
          <cell r="C1447">
            <v>333</v>
          </cell>
          <cell r="D1447" t="str">
            <v>1 kg</v>
          </cell>
        </row>
        <row r="1448">
          <cell r="A1448">
            <v>2574</v>
          </cell>
          <cell r="B1448" t="str">
            <v>FOSFATO DE TRICRESILA com mais de 3% de isômero orto</v>
          </cell>
          <cell r="C1448">
            <v>333</v>
          </cell>
          <cell r="D1448" t="str">
            <v>100 ml</v>
          </cell>
        </row>
        <row r="1449">
          <cell r="A1449">
            <v>2576</v>
          </cell>
          <cell r="B1449" t="str">
            <v>OXIBROMETO DE FÓSFORO, FUNDIDO</v>
          </cell>
          <cell r="C1449">
            <v>333</v>
          </cell>
          <cell r="D1449" t="str">
            <v>ZERO</v>
          </cell>
        </row>
        <row r="1450">
          <cell r="A1450">
            <v>2577</v>
          </cell>
          <cell r="B1450" t="str">
            <v>CLORETO DE FENILACETILA</v>
          </cell>
          <cell r="C1450">
            <v>333</v>
          </cell>
          <cell r="D1450" t="str">
            <v>1 L</v>
          </cell>
        </row>
        <row r="1451">
          <cell r="A1451">
            <v>2578</v>
          </cell>
          <cell r="B1451" t="str">
            <v>TRIÓXIDO DE FÓSFORO</v>
          </cell>
          <cell r="C1451">
            <v>1000</v>
          </cell>
          <cell r="D1451" t="str">
            <v>5 kg</v>
          </cell>
        </row>
        <row r="1452">
          <cell r="A1452">
            <v>2579</v>
          </cell>
          <cell r="B1452" t="str">
            <v>PIPERAZINA</v>
          </cell>
          <cell r="C1452">
            <v>1000</v>
          </cell>
          <cell r="D1452" t="str">
            <v>5 kg</v>
          </cell>
        </row>
        <row r="1453">
          <cell r="A1453">
            <v>2580</v>
          </cell>
          <cell r="B1453" t="str">
            <v>BROMETO DE ALUMÍNIO SOLUÇÃO</v>
          </cell>
          <cell r="C1453">
            <v>1000</v>
          </cell>
          <cell r="D1453" t="str">
            <v>5 L</v>
          </cell>
        </row>
        <row r="1454">
          <cell r="A1454">
            <v>2581</v>
          </cell>
          <cell r="B1454" t="str">
            <v>CLORETO DE ALUMÍNIO SOLUÇÃO</v>
          </cell>
          <cell r="C1454">
            <v>1000</v>
          </cell>
          <cell r="D1454" t="str">
            <v>5 L</v>
          </cell>
        </row>
        <row r="1455">
          <cell r="A1455">
            <v>2582</v>
          </cell>
          <cell r="B1455" t="str">
            <v>CLORETO FERRICO SOLUÇÃO</v>
          </cell>
          <cell r="C1455">
            <v>1000</v>
          </cell>
          <cell r="D1455" t="str">
            <v>5 L</v>
          </cell>
        </row>
        <row r="1456">
          <cell r="A1456">
            <v>2583</v>
          </cell>
          <cell r="B1456" t="str">
            <v>ÁCIDOS  ALQUILSULFÔNICOS,  SÓLIDOS  ou  ÁCIDOS  ARILSULFÔNICOS,  SÓLIDOS,  com  mais  de  5%  de  ácido</v>
          </cell>
        </row>
        <row r="1457">
          <cell r="A1457">
            <v>2584</v>
          </cell>
          <cell r="B1457" t="str">
            <v>ÁCIDOS  ALQUILSULFÔNICOS,  LÍQUIDOS  ou  ÁCIDOS  ARILSULFÔNICOS,  LÍQUIDOS,  com  mais  de  5%  de  ácido</v>
          </cell>
        </row>
        <row r="1458">
          <cell r="A1458">
            <v>2585</v>
          </cell>
          <cell r="B1458" t="str">
            <v>ÁCIDOS ALQUILSULFÔNICOS,  SÓLIDOS ou  ÁCIDOS ARILSULFÔNICOS,  SÓLIDOS,  com até  5%  de  ácido  sulfúrico</v>
          </cell>
        </row>
        <row r="1459">
          <cell r="A1459">
            <v>2586</v>
          </cell>
          <cell r="B1459" t="str">
            <v>ÁCIDOS ALQUILSULFÔNICOS, LÍQUIDOS ou ÁCIDOS ARILSULFÔNICOS, LÍQUIDOS, com até 5% de ácido sulfúrico</v>
          </cell>
        </row>
        <row r="1460">
          <cell r="A1460">
            <v>2587</v>
          </cell>
          <cell r="B1460" t="str">
            <v>BENZOQUINONA</v>
          </cell>
          <cell r="C1460">
            <v>333</v>
          </cell>
          <cell r="D1460" t="str">
            <v>500 g</v>
          </cell>
        </row>
        <row r="1461">
          <cell r="A1461">
            <v>2588</v>
          </cell>
          <cell r="B1461" t="str">
            <v>PESTICIDA, SÓLIDO, TÓXICO, N.E.</v>
          </cell>
          <cell r="C1461">
            <v>20</v>
          </cell>
          <cell r="D1461" t="str">
            <v>5 kg</v>
          </cell>
        </row>
        <row r="1462">
          <cell r="A1462">
            <v>2589</v>
          </cell>
          <cell r="B1462" t="str">
            <v>CLOROACETATO DE VINILA</v>
          </cell>
          <cell r="C1462">
            <v>333</v>
          </cell>
          <cell r="D1462" t="str">
            <v>100 ml</v>
          </cell>
        </row>
        <row r="1463">
          <cell r="A1463">
            <v>2590</v>
          </cell>
          <cell r="B1463" t="str">
            <v>AMIANTOS, CRISOTILIA</v>
          </cell>
          <cell r="C1463">
            <v>1000</v>
          </cell>
          <cell r="D1463" t="str">
            <v>5 kg</v>
          </cell>
        </row>
        <row r="1464">
          <cell r="A1464">
            <v>2591</v>
          </cell>
          <cell r="B1464" t="str">
            <v>XENÔNIO, LÍQUIDO REFRIGERADO</v>
          </cell>
          <cell r="C1464">
            <v>1000</v>
          </cell>
          <cell r="D1464" t="str">
            <v>120 ml</v>
          </cell>
        </row>
        <row r="1465">
          <cell r="A1465">
            <v>2599</v>
          </cell>
          <cell r="B1465" t="str">
            <v>MISTURA  AZEOTRÓPICA  DE  CLOROTRIFLUORMETANO  E  TRIFLUORMETANO,  com  aproximadamente  60%  de</v>
          </cell>
        </row>
        <row r="1466">
          <cell r="A1466">
            <v>2601</v>
          </cell>
          <cell r="B1466" t="str">
            <v>CICLOBUTANO</v>
          </cell>
          <cell r="C1466">
            <v>333</v>
          </cell>
          <cell r="D1466" t="str">
            <v>ZERO</v>
          </cell>
        </row>
        <row r="1467">
          <cell r="A1467">
            <v>2602</v>
          </cell>
          <cell r="B1467" t="str">
            <v>MISTURA  AZEOTRÓPICA  DE  DICLORODIFLUORMETANO  E  DIFLUORETANO,  com  aproximadamente   74%  de</v>
          </cell>
        </row>
        <row r="1468">
          <cell r="A1468">
            <v>2603</v>
          </cell>
          <cell r="B1468" t="str">
            <v>CICLO-HEPTATRIENO</v>
          </cell>
          <cell r="C1468">
            <v>333</v>
          </cell>
          <cell r="D1468" t="str">
            <v>1 L</v>
          </cell>
        </row>
        <row r="1469">
          <cell r="A1469">
            <v>2604</v>
          </cell>
          <cell r="B1469" t="str">
            <v>DIETILETERATO DE TRIFLUORETO DE BORO</v>
          </cell>
          <cell r="C1469">
            <v>20</v>
          </cell>
          <cell r="D1469" t="str">
            <v>ZERO</v>
          </cell>
        </row>
        <row r="1470">
          <cell r="A1470">
            <v>2605</v>
          </cell>
          <cell r="B1470" t="str">
            <v>ISOCIANATO DE METOXIMETILA</v>
          </cell>
          <cell r="C1470">
            <v>20</v>
          </cell>
          <cell r="D1470" t="str">
            <v>ZERO</v>
          </cell>
        </row>
        <row r="1471">
          <cell r="A1471">
            <v>2606</v>
          </cell>
          <cell r="B1471" t="str">
            <v>ORTOSSILICATO DE METILA</v>
          </cell>
          <cell r="C1471">
            <v>20</v>
          </cell>
          <cell r="D1471" t="str">
            <v>ZERO</v>
          </cell>
        </row>
        <row r="1472">
          <cell r="A1472">
            <v>2607</v>
          </cell>
          <cell r="B1472" t="str">
            <v>ACROLEÍNA DIMERIZADA, ESTABILIZADA</v>
          </cell>
          <cell r="C1472">
            <v>1000</v>
          </cell>
          <cell r="D1472" t="str">
            <v>5 L</v>
          </cell>
        </row>
        <row r="1473">
          <cell r="A1473">
            <v>2608</v>
          </cell>
          <cell r="B1473" t="str">
            <v>NITROPROPANOS</v>
          </cell>
          <cell r="C1473">
            <v>1000</v>
          </cell>
          <cell r="D1473" t="str">
            <v>5 L</v>
          </cell>
        </row>
        <row r="1474">
          <cell r="A1474">
            <v>2609</v>
          </cell>
          <cell r="B1474" t="str">
            <v>BORATO DE TRIALILA</v>
          </cell>
          <cell r="C1474">
            <v>333</v>
          </cell>
          <cell r="D1474" t="str">
            <v>5 L</v>
          </cell>
        </row>
        <row r="1475">
          <cell r="A1475">
            <v>2610</v>
          </cell>
          <cell r="B1475" t="str">
            <v>TRIALILAMINA</v>
          </cell>
          <cell r="C1475">
            <v>1000</v>
          </cell>
          <cell r="D1475" t="str">
            <v>5 L</v>
          </cell>
        </row>
        <row r="1476">
          <cell r="A1476">
            <v>2611</v>
          </cell>
          <cell r="B1476" t="str">
            <v>PROPILENOCLORIDRINA</v>
          </cell>
          <cell r="C1476">
            <v>333</v>
          </cell>
          <cell r="D1476" t="str">
            <v>100 ml</v>
          </cell>
        </row>
        <row r="1477">
          <cell r="A1477">
            <v>2612</v>
          </cell>
          <cell r="B1477" t="str">
            <v>ÉTER METILPROPÍLICO</v>
          </cell>
          <cell r="C1477">
            <v>333</v>
          </cell>
          <cell r="D1477" t="str">
            <v>1 L</v>
          </cell>
        </row>
        <row r="1478">
          <cell r="A1478">
            <v>2614</v>
          </cell>
          <cell r="B1478" t="str">
            <v>ÁLCOOL METALÍLICO</v>
          </cell>
          <cell r="C1478">
            <v>1000</v>
          </cell>
          <cell r="D1478" t="str">
            <v>5 L</v>
          </cell>
        </row>
        <row r="1479">
          <cell r="A1479">
            <v>2615</v>
          </cell>
          <cell r="B1479" t="str">
            <v>ÉTER ETILPROPÍLICO</v>
          </cell>
          <cell r="C1479">
            <v>333</v>
          </cell>
          <cell r="D1479" t="str">
            <v>1 L</v>
          </cell>
        </row>
        <row r="1480">
          <cell r="A1480">
            <v>2616</v>
          </cell>
          <cell r="B1480" t="str">
            <v>BORATO DE TRIISOPROPILA</v>
          </cell>
          <cell r="C1480">
            <v>333</v>
          </cell>
          <cell r="D1480" t="str">
            <v>1 L</v>
          </cell>
        </row>
        <row r="1481">
          <cell r="A1481">
            <v>2617</v>
          </cell>
          <cell r="B1481" t="str">
            <v>METILCICLO-HEXANÓIS, inflamáveis</v>
          </cell>
          <cell r="C1481">
            <v>1000</v>
          </cell>
          <cell r="D1481" t="str">
            <v>5 L</v>
          </cell>
        </row>
        <row r="1482">
          <cell r="A1482">
            <v>2618</v>
          </cell>
          <cell r="B1482" t="str">
            <v>VINILTOLUENOS, ESTABILIZADOS</v>
          </cell>
          <cell r="C1482">
            <v>1000</v>
          </cell>
          <cell r="D1482" t="str">
            <v>5 L</v>
          </cell>
        </row>
        <row r="1483">
          <cell r="A1483">
            <v>2619</v>
          </cell>
          <cell r="B1483" t="str">
            <v>BENZILDIMETILAMINA</v>
          </cell>
          <cell r="C1483">
            <v>333</v>
          </cell>
          <cell r="D1483" t="str">
            <v>1 L</v>
          </cell>
        </row>
        <row r="1484">
          <cell r="A1484">
            <v>2620</v>
          </cell>
          <cell r="B1484" t="str">
            <v>BUTIRATOS DE AMILA</v>
          </cell>
          <cell r="C1484">
            <v>1000</v>
          </cell>
          <cell r="D1484" t="str">
            <v>5 L</v>
          </cell>
        </row>
        <row r="1485">
          <cell r="A1485">
            <v>2621</v>
          </cell>
          <cell r="B1485" t="str">
            <v>ACETILMETILCARBINOL</v>
          </cell>
          <cell r="C1485">
            <v>1000</v>
          </cell>
          <cell r="D1485" t="str">
            <v>5 L</v>
          </cell>
        </row>
        <row r="1486">
          <cell r="A1486">
            <v>2622</v>
          </cell>
          <cell r="B1486" t="str">
            <v>GLICIDALDEÍDO</v>
          </cell>
          <cell r="C1486">
            <v>333</v>
          </cell>
          <cell r="D1486" t="str">
            <v>1 L</v>
          </cell>
        </row>
        <row r="1487">
          <cell r="A1487">
            <v>2623</v>
          </cell>
          <cell r="B1487" t="str">
            <v>ACENDEDORES, SÓLIDOS com líquido inflamável</v>
          </cell>
          <cell r="C1487" t="str">
            <v>ILIMITADA</v>
          </cell>
          <cell r="D1487" t="str">
            <v>5 kg</v>
          </cell>
        </row>
        <row r="1488">
          <cell r="A1488">
            <v>2624</v>
          </cell>
          <cell r="B1488" t="str">
            <v>SILICIETO DE MAGNÉSIO</v>
          </cell>
          <cell r="C1488">
            <v>333</v>
          </cell>
          <cell r="D1488" t="str">
            <v>500 g</v>
          </cell>
        </row>
        <row r="1489">
          <cell r="A1489">
            <v>2626</v>
          </cell>
          <cell r="B1489" t="str">
            <v>ÁCIDO CLÓRICO, SOLUÇÃO AQUOSA, com até 10% de ácido clórico</v>
          </cell>
          <cell r="C1489">
            <v>333</v>
          </cell>
          <cell r="D1489" t="str">
            <v>1 L</v>
          </cell>
        </row>
        <row r="1490">
          <cell r="A1490">
            <v>2627</v>
          </cell>
          <cell r="B1490" t="str">
            <v>NITRITOS, INORGÂNICOS, N.E.</v>
          </cell>
          <cell r="C1490">
            <v>333</v>
          </cell>
          <cell r="D1490" t="str">
            <v>1 kg</v>
          </cell>
        </row>
        <row r="1491">
          <cell r="A1491">
            <v>2628</v>
          </cell>
          <cell r="B1491" t="str">
            <v>FLUORACETATO DE POTÁSSIO</v>
          </cell>
          <cell r="C1491">
            <v>20</v>
          </cell>
          <cell r="D1491" t="str">
            <v>ZERO</v>
          </cell>
        </row>
        <row r="1492">
          <cell r="A1492">
            <v>2629</v>
          </cell>
          <cell r="B1492" t="str">
            <v>FLUORACETATO DE SÓDIO</v>
          </cell>
          <cell r="C1492">
            <v>20</v>
          </cell>
          <cell r="D1492" t="str">
            <v>ZERO</v>
          </cell>
        </row>
        <row r="1493">
          <cell r="A1493">
            <v>2630</v>
          </cell>
          <cell r="B1493" t="str">
            <v>SELENIATOS ou SELENITOS</v>
          </cell>
          <cell r="C1493">
            <v>20</v>
          </cell>
          <cell r="D1493" t="str">
            <v>ZERO</v>
          </cell>
        </row>
        <row r="1494">
          <cell r="A1494">
            <v>2642</v>
          </cell>
          <cell r="B1494" t="str">
            <v>ÁCIDO FLUORACÉTICO</v>
          </cell>
          <cell r="C1494">
            <v>20</v>
          </cell>
          <cell r="D1494" t="str">
            <v>ZERO</v>
          </cell>
        </row>
        <row r="1495">
          <cell r="A1495">
            <v>2643</v>
          </cell>
          <cell r="B1495" t="str">
            <v>BROMOACETATO DE METILA</v>
          </cell>
          <cell r="C1495">
            <v>333</v>
          </cell>
          <cell r="D1495" t="str">
            <v>100 ml</v>
          </cell>
        </row>
        <row r="1496">
          <cell r="A1496">
            <v>2644</v>
          </cell>
          <cell r="B1496" t="str">
            <v>IODETO DE METILA</v>
          </cell>
          <cell r="C1496">
            <v>20</v>
          </cell>
          <cell r="D1496" t="str">
            <v>ZERO</v>
          </cell>
        </row>
        <row r="1497">
          <cell r="A1497">
            <v>2645</v>
          </cell>
          <cell r="B1497" t="str">
            <v>BROMETO DE FENACILA</v>
          </cell>
          <cell r="C1497">
            <v>333</v>
          </cell>
          <cell r="D1497" t="str">
            <v>500 g</v>
          </cell>
        </row>
        <row r="1498">
          <cell r="A1498">
            <v>2646</v>
          </cell>
          <cell r="B1498" t="str">
            <v>HEXACLOROCICLOPENTADIENO</v>
          </cell>
          <cell r="C1498">
            <v>20</v>
          </cell>
          <cell r="D1498" t="str">
            <v>ZERO</v>
          </cell>
        </row>
        <row r="1499">
          <cell r="A1499">
            <v>2647</v>
          </cell>
          <cell r="B1499" t="str">
            <v>MALONONITRILA</v>
          </cell>
          <cell r="C1499">
            <v>333</v>
          </cell>
          <cell r="D1499" t="str">
            <v>500 g</v>
          </cell>
        </row>
        <row r="1500">
          <cell r="A1500">
            <v>2648</v>
          </cell>
          <cell r="B1500" t="str">
            <v>1,2-DIBROMOBUTAN-3-ONA</v>
          </cell>
          <cell r="C1500">
            <v>333</v>
          </cell>
          <cell r="D1500" t="str">
            <v>100 ml</v>
          </cell>
        </row>
        <row r="1501">
          <cell r="A1501">
            <v>2649</v>
          </cell>
          <cell r="B1501" t="str">
            <v>1,3-DICLOROACETONA</v>
          </cell>
          <cell r="C1501">
            <v>333</v>
          </cell>
          <cell r="D1501" t="str">
            <v>500 g</v>
          </cell>
        </row>
        <row r="1502">
          <cell r="A1502">
            <v>2650</v>
          </cell>
          <cell r="B1502" t="str">
            <v>1,1-DICLORO-1-NITROETANO</v>
          </cell>
          <cell r="C1502">
            <v>333</v>
          </cell>
          <cell r="D1502" t="str">
            <v>100 ml</v>
          </cell>
        </row>
        <row r="1503">
          <cell r="A1503">
            <v>2651</v>
          </cell>
          <cell r="B1503" t="str">
            <v>4,4'-DIAMINODIFENILMETANO</v>
          </cell>
          <cell r="C1503">
            <v>333</v>
          </cell>
          <cell r="D1503" t="str">
            <v>5 kg</v>
          </cell>
        </row>
        <row r="1504">
          <cell r="A1504">
            <v>2653</v>
          </cell>
          <cell r="B1504" t="str">
            <v>IODETO DE BENZILA</v>
          </cell>
          <cell r="C1504">
            <v>333</v>
          </cell>
          <cell r="D1504" t="str">
            <v>100 ml</v>
          </cell>
        </row>
        <row r="1505">
          <cell r="A1505">
            <v>2655</v>
          </cell>
          <cell r="B1505" t="str">
            <v>FLUORSILICATO DE POTÁSSIO</v>
          </cell>
          <cell r="C1505">
            <v>333</v>
          </cell>
          <cell r="D1505" t="str">
            <v>5 kg</v>
          </cell>
        </row>
        <row r="1506">
          <cell r="A1506">
            <v>2656</v>
          </cell>
          <cell r="B1506" t="str">
            <v>QUINOLINA</v>
          </cell>
          <cell r="C1506">
            <v>333</v>
          </cell>
          <cell r="D1506" t="str">
            <v>5 L</v>
          </cell>
        </row>
        <row r="1507">
          <cell r="A1507">
            <v>2657</v>
          </cell>
          <cell r="B1507" t="str">
            <v>DISSULFETO DE SELÊNIO</v>
          </cell>
          <cell r="C1507">
            <v>333</v>
          </cell>
          <cell r="D1507" t="str">
            <v>500 g</v>
          </cell>
        </row>
        <row r="1508">
          <cell r="A1508">
            <v>2659</v>
          </cell>
          <cell r="B1508" t="str">
            <v>CLOROACETATO DE SÓDIO</v>
          </cell>
          <cell r="C1508">
            <v>333</v>
          </cell>
          <cell r="D1508" t="str">
            <v>5 kg</v>
          </cell>
        </row>
        <row r="1509">
          <cell r="A1509">
            <v>2660</v>
          </cell>
          <cell r="B1509" t="str">
            <v>NITROTOLUIDINAS (MONO)</v>
          </cell>
          <cell r="C1509">
            <v>333</v>
          </cell>
          <cell r="D1509" t="str">
            <v>5 kg</v>
          </cell>
        </row>
        <row r="1510">
          <cell r="A1510">
            <v>2661</v>
          </cell>
          <cell r="B1510" t="str">
            <v>HEXACLOROACETONA</v>
          </cell>
          <cell r="C1510">
            <v>333</v>
          </cell>
          <cell r="D1510" t="str">
            <v>5 L</v>
          </cell>
        </row>
        <row r="1511">
          <cell r="A1511">
            <v>2664</v>
          </cell>
          <cell r="B1511" t="str">
            <v>DIBROMOMETANO</v>
          </cell>
          <cell r="C1511">
            <v>333</v>
          </cell>
          <cell r="D1511" t="str">
            <v>5 L</v>
          </cell>
        </row>
        <row r="1512">
          <cell r="A1512">
            <v>2667</v>
          </cell>
          <cell r="B1512" t="str">
            <v>BUTILTOLUENOS</v>
          </cell>
          <cell r="C1512">
            <v>333</v>
          </cell>
          <cell r="D1512" t="str">
            <v>5 L</v>
          </cell>
        </row>
        <row r="1513">
          <cell r="A1513">
            <v>2668</v>
          </cell>
          <cell r="B1513" t="str">
            <v>CLOROACETONITRILA</v>
          </cell>
          <cell r="C1513">
            <v>333</v>
          </cell>
          <cell r="D1513" t="str">
            <v>ZERO</v>
          </cell>
        </row>
        <row r="1514">
          <cell r="A1514">
            <v>2669</v>
          </cell>
          <cell r="B1514" t="str">
            <v>CLOROCRESÓIS SOLUÇÃO</v>
          </cell>
          <cell r="C1514">
            <v>333</v>
          </cell>
          <cell r="D1514" t="str">
            <v>100 ml</v>
          </cell>
        </row>
        <row r="1515">
          <cell r="A1515">
            <v>2670</v>
          </cell>
          <cell r="B1515" t="str">
            <v>CLORETO CIANÚRICO</v>
          </cell>
          <cell r="C1515">
            <v>333</v>
          </cell>
          <cell r="D1515" t="str">
            <v>1 kg</v>
          </cell>
        </row>
        <row r="1516">
          <cell r="A1516">
            <v>2671</v>
          </cell>
          <cell r="B1516" t="str">
            <v>AMINOPIRIDINAS (o-,m-,p-)</v>
          </cell>
          <cell r="C1516">
            <v>333</v>
          </cell>
          <cell r="D1516" t="str">
            <v>500 g</v>
          </cell>
        </row>
        <row r="1517">
          <cell r="A1517">
            <v>2672</v>
          </cell>
          <cell r="B1517" t="str">
            <v>AMÔNIA SOLUÇÃO aquosa, com densidade relativa entre 0,880 e 0,957 a 15ºC, com mais de 10% e até 35% de amônia</v>
          </cell>
          <cell r="C1517">
            <v>1000</v>
          </cell>
          <cell r="D1517" t="str">
            <v>5 L</v>
          </cell>
        </row>
        <row r="1518">
          <cell r="A1518">
            <v>2673</v>
          </cell>
          <cell r="B1518" t="str">
            <v>2-AMINO-4-CLOROFENOL</v>
          </cell>
          <cell r="C1518">
            <v>333</v>
          </cell>
          <cell r="D1518" t="str">
            <v>500 g</v>
          </cell>
        </row>
        <row r="1519">
          <cell r="A1519">
            <v>2674</v>
          </cell>
          <cell r="B1519" t="str">
            <v>FLUORSILICATO DE SÓDIO</v>
          </cell>
          <cell r="C1519">
            <v>333</v>
          </cell>
          <cell r="D1519" t="str">
            <v>5 kg</v>
          </cell>
        </row>
        <row r="1520">
          <cell r="A1520">
            <v>2676</v>
          </cell>
          <cell r="B1520" t="str">
            <v>ESTIBINA</v>
          </cell>
          <cell r="C1520">
            <v>20</v>
          </cell>
          <cell r="D1520" t="str">
            <v>ZERO</v>
          </cell>
        </row>
        <row r="1521">
          <cell r="A1521">
            <v>2677</v>
          </cell>
          <cell r="B1521" t="str">
            <v>HIDRÓXIDO DE RUBÍDIO SOLUÇÃO</v>
          </cell>
          <cell r="C1521">
            <v>333</v>
          </cell>
          <cell r="D1521" t="str">
            <v>1 L</v>
          </cell>
        </row>
        <row r="1522">
          <cell r="A1522">
            <v>2678</v>
          </cell>
          <cell r="B1522" t="str">
            <v>HIDRÓXIDO DE RUBÍDIO</v>
          </cell>
          <cell r="C1522">
            <v>333</v>
          </cell>
          <cell r="D1522" t="str">
            <v>1 kg</v>
          </cell>
        </row>
        <row r="1523">
          <cell r="A1523">
            <v>2679</v>
          </cell>
          <cell r="B1523" t="str">
            <v>HIDRÓXIDO DE LÍTIO SOLUÇÃO</v>
          </cell>
          <cell r="C1523">
            <v>333</v>
          </cell>
          <cell r="D1523" t="str">
            <v>1 L</v>
          </cell>
        </row>
        <row r="1524">
          <cell r="A1524">
            <v>2680</v>
          </cell>
          <cell r="B1524" t="str">
            <v>HIDRÓXIDO DE LÍTIO</v>
          </cell>
          <cell r="C1524">
            <v>333</v>
          </cell>
          <cell r="D1524" t="str">
            <v>1 kg</v>
          </cell>
        </row>
        <row r="1525">
          <cell r="A1525">
            <v>2681</v>
          </cell>
          <cell r="B1525" t="str">
            <v>HIDRÓXIDO DE CÉSIO SOLUÇÃO</v>
          </cell>
          <cell r="C1525">
            <v>333</v>
          </cell>
          <cell r="D1525" t="str">
            <v>1 L</v>
          </cell>
        </row>
        <row r="1526">
          <cell r="A1526">
            <v>2682</v>
          </cell>
          <cell r="B1526" t="str">
            <v>HIDRÓXIDO DE CÉSIO</v>
          </cell>
          <cell r="C1526">
            <v>333</v>
          </cell>
          <cell r="D1526" t="str">
            <v>1 kg</v>
          </cell>
        </row>
        <row r="1527">
          <cell r="A1527">
            <v>2683</v>
          </cell>
          <cell r="B1527" t="str">
            <v>SULFETO DE AMÔNIO SOLUÇÃO</v>
          </cell>
          <cell r="C1527">
            <v>333</v>
          </cell>
          <cell r="D1527" t="str">
            <v>1 L</v>
          </cell>
        </row>
        <row r="1528">
          <cell r="A1528">
            <v>2684</v>
          </cell>
          <cell r="B1528" t="str">
            <v>3-DIETILAMINOPROPILAMINA</v>
          </cell>
          <cell r="C1528">
            <v>1000</v>
          </cell>
          <cell r="D1528" t="str">
            <v>5 L</v>
          </cell>
        </row>
        <row r="1529">
          <cell r="A1529">
            <v>2685</v>
          </cell>
          <cell r="B1529" t="str">
            <v>N,N-DIETILETILENODIAMINA</v>
          </cell>
          <cell r="C1529">
            <v>333</v>
          </cell>
          <cell r="D1529" t="str">
            <v>1 L</v>
          </cell>
        </row>
        <row r="1530">
          <cell r="A1530">
            <v>2686</v>
          </cell>
          <cell r="B1530" t="str">
            <v>2-DIETILAMINOETANOL</v>
          </cell>
          <cell r="C1530">
            <v>333</v>
          </cell>
          <cell r="D1530" t="str">
            <v>1 L</v>
          </cell>
        </row>
        <row r="1531">
          <cell r="A1531">
            <v>2687</v>
          </cell>
          <cell r="B1531" t="str">
            <v>NITRITO DE DICICLOHEXILAMÔNIO</v>
          </cell>
          <cell r="C1531">
            <v>1000</v>
          </cell>
          <cell r="D1531" t="str">
            <v>5 kg</v>
          </cell>
        </row>
        <row r="1532">
          <cell r="A1532">
            <v>2688</v>
          </cell>
          <cell r="B1532" t="str">
            <v>1-BROMO-3-CLOROPROPANO</v>
          </cell>
          <cell r="C1532">
            <v>333</v>
          </cell>
          <cell r="D1532" t="str">
            <v>5 L</v>
          </cell>
        </row>
        <row r="1533">
          <cell r="A1533">
            <v>2689</v>
          </cell>
          <cell r="B1533" t="str">
            <v>GLICEROL-alfa-MONOCLORIDRINA</v>
          </cell>
          <cell r="C1533">
            <v>333</v>
          </cell>
          <cell r="D1533" t="str">
            <v>5 L</v>
          </cell>
        </row>
        <row r="1534">
          <cell r="A1534">
            <v>2690</v>
          </cell>
          <cell r="B1534" t="str">
            <v>N,n-BUTILIMIDAZOL</v>
          </cell>
          <cell r="C1534">
            <v>333</v>
          </cell>
          <cell r="D1534" t="str">
            <v>100 ml</v>
          </cell>
        </row>
        <row r="1535">
          <cell r="A1535">
            <v>2691</v>
          </cell>
          <cell r="B1535" t="str">
            <v>PENTABROMETO DE FÓSFORO</v>
          </cell>
          <cell r="C1535">
            <v>333</v>
          </cell>
          <cell r="D1535" t="str">
            <v>1 kg</v>
          </cell>
        </row>
        <row r="1536">
          <cell r="A1536">
            <v>2692</v>
          </cell>
          <cell r="B1536" t="str">
            <v>TRIBROMETO DE BORO</v>
          </cell>
          <cell r="C1536">
            <v>20</v>
          </cell>
          <cell r="D1536" t="str">
            <v>ZERO</v>
          </cell>
        </row>
        <row r="1537">
          <cell r="A1537">
            <v>2693</v>
          </cell>
          <cell r="B1537" t="str">
            <v>BISSULFITOS, SOLUÇÃO AQUOSA, N.E.</v>
          </cell>
          <cell r="C1537">
            <v>1000</v>
          </cell>
          <cell r="D1537" t="str">
            <v>5 L</v>
          </cell>
        </row>
        <row r="1538">
          <cell r="A1538">
            <v>2698</v>
          </cell>
          <cell r="B1538" t="str">
            <v>ANIDRIDOS TETRAHIDROFTÁLICOS, com mais de 0,05% de anidrido maléico</v>
          </cell>
          <cell r="C1538">
            <v>1000</v>
          </cell>
          <cell r="D1538" t="str">
            <v>5 kg</v>
          </cell>
        </row>
        <row r="1539">
          <cell r="A1539">
            <v>2699</v>
          </cell>
          <cell r="B1539" t="str">
            <v>ÁCIDO TRIFLUORACÉTICO</v>
          </cell>
          <cell r="C1539">
            <v>20</v>
          </cell>
          <cell r="D1539" t="str">
            <v>ZERO</v>
          </cell>
        </row>
        <row r="1540">
          <cell r="A1540">
            <v>2705</v>
          </cell>
          <cell r="B1540" t="str">
            <v>1-PENTOL</v>
          </cell>
          <cell r="C1540">
            <v>333</v>
          </cell>
          <cell r="D1540" t="str">
            <v>1 L</v>
          </cell>
        </row>
        <row r="1541">
          <cell r="A1541">
            <v>2707</v>
          </cell>
          <cell r="B1541" t="str">
            <v>DIMETILDIOXANAS</v>
          </cell>
          <cell r="C1541">
            <v>333</v>
          </cell>
          <cell r="D1541" t="str">
            <v>1 L</v>
          </cell>
        </row>
        <row r="1542">
          <cell r="A1542">
            <v>2709</v>
          </cell>
          <cell r="B1542" t="str">
            <v>BUTILBENZENOS</v>
          </cell>
          <cell r="C1542">
            <v>1000</v>
          </cell>
          <cell r="D1542" t="str">
            <v>5 L</v>
          </cell>
        </row>
        <row r="1543">
          <cell r="A1543">
            <v>2710</v>
          </cell>
          <cell r="B1543" t="str">
            <v>DIPROPILCETONA</v>
          </cell>
          <cell r="C1543">
            <v>1000</v>
          </cell>
          <cell r="D1543" t="str">
            <v>5 L</v>
          </cell>
        </row>
        <row r="1544">
          <cell r="A1544">
            <v>2713</v>
          </cell>
          <cell r="B1544" t="str">
            <v>ACRIDINA</v>
          </cell>
          <cell r="C1544">
            <v>333</v>
          </cell>
          <cell r="D1544" t="str">
            <v>5 kg</v>
          </cell>
        </row>
        <row r="1545">
          <cell r="A1545">
            <v>2714</v>
          </cell>
          <cell r="B1545" t="str">
            <v>RESINATO DE ZINCO</v>
          </cell>
          <cell r="C1545">
            <v>1000</v>
          </cell>
          <cell r="D1545" t="str">
            <v>5 kg</v>
          </cell>
        </row>
        <row r="1546">
          <cell r="A1546">
            <v>2715</v>
          </cell>
          <cell r="B1546" t="str">
            <v>RESINATO DE ALUMÍNIO</v>
          </cell>
          <cell r="C1546">
            <v>1000</v>
          </cell>
          <cell r="D1546" t="str">
            <v>5 kg</v>
          </cell>
        </row>
        <row r="1547">
          <cell r="A1547">
            <v>2716</v>
          </cell>
          <cell r="B1547" t="str">
            <v>1,4-BUTINODIOL</v>
          </cell>
          <cell r="C1547">
            <v>333</v>
          </cell>
          <cell r="D1547" t="str">
            <v>5 kg</v>
          </cell>
        </row>
        <row r="1548">
          <cell r="A1548">
            <v>2717</v>
          </cell>
          <cell r="B1548" t="str">
            <v>CÂNFORA, sintética</v>
          </cell>
          <cell r="C1548">
            <v>1000</v>
          </cell>
          <cell r="D1548" t="str">
            <v>5 kg</v>
          </cell>
        </row>
        <row r="1549">
          <cell r="A1549">
            <v>2719</v>
          </cell>
          <cell r="B1549" t="str">
            <v>BROMATO DE BÁRIO</v>
          </cell>
          <cell r="C1549">
            <v>333</v>
          </cell>
          <cell r="D1549" t="str">
            <v>1 kg</v>
          </cell>
        </row>
        <row r="1550">
          <cell r="A1550">
            <v>2720</v>
          </cell>
          <cell r="B1550" t="str">
            <v>NITRATO DE CROMO</v>
          </cell>
          <cell r="C1550">
            <v>1000</v>
          </cell>
          <cell r="D1550" t="str">
            <v>5 kg</v>
          </cell>
        </row>
        <row r="1551">
          <cell r="A1551">
            <v>2721</v>
          </cell>
          <cell r="B1551" t="str">
            <v>CLORATO DE COBRE</v>
          </cell>
          <cell r="C1551">
            <v>333</v>
          </cell>
          <cell r="D1551" t="str">
            <v>1 kg</v>
          </cell>
        </row>
        <row r="1552">
          <cell r="A1552">
            <v>2722</v>
          </cell>
          <cell r="B1552" t="str">
            <v>NITRATO DE LÍTIO</v>
          </cell>
          <cell r="C1552">
            <v>1000</v>
          </cell>
          <cell r="D1552" t="str">
            <v>5 kg</v>
          </cell>
        </row>
        <row r="1553">
          <cell r="A1553">
            <v>2723</v>
          </cell>
          <cell r="B1553" t="str">
            <v>CLORATO DE MAGNÉSIO</v>
          </cell>
          <cell r="C1553">
            <v>333</v>
          </cell>
          <cell r="D1553" t="str">
            <v>1 kg</v>
          </cell>
        </row>
        <row r="1554">
          <cell r="A1554">
            <v>2724</v>
          </cell>
          <cell r="B1554" t="str">
            <v>NITRATO DE MANGANÊS</v>
          </cell>
          <cell r="C1554">
            <v>1000</v>
          </cell>
          <cell r="D1554" t="str">
            <v>5 kg</v>
          </cell>
        </row>
        <row r="1555">
          <cell r="A1555">
            <v>2725</v>
          </cell>
          <cell r="B1555" t="str">
            <v>NITRATO DE NÍQUEL</v>
          </cell>
          <cell r="C1555">
            <v>1000</v>
          </cell>
          <cell r="D1555" t="str">
            <v>5 kg</v>
          </cell>
        </row>
        <row r="1556">
          <cell r="A1556">
            <v>2726</v>
          </cell>
          <cell r="B1556" t="str">
            <v>NITRITO DE NÍQUEL</v>
          </cell>
          <cell r="C1556">
            <v>1000</v>
          </cell>
          <cell r="D1556" t="str">
            <v>5 kg</v>
          </cell>
        </row>
        <row r="1557">
          <cell r="A1557">
            <v>2727</v>
          </cell>
          <cell r="B1557" t="str">
            <v>NITRATO DE TÁLIO</v>
          </cell>
          <cell r="C1557">
            <v>333</v>
          </cell>
          <cell r="D1557" t="str">
            <v>500 g</v>
          </cell>
        </row>
        <row r="1558">
          <cell r="A1558">
            <v>2728</v>
          </cell>
          <cell r="B1558" t="str">
            <v>NITRATO DE ZIRCÔNIO</v>
          </cell>
          <cell r="C1558">
            <v>1000</v>
          </cell>
          <cell r="D1558" t="str">
            <v>5 kg</v>
          </cell>
        </row>
        <row r="1559">
          <cell r="A1559">
            <v>2729</v>
          </cell>
          <cell r="B1559" t="str">
            <v>HEXACLOROBENZENO</v>
          </cell>
          <cell r="C1559">
            <v>333</v>
          </cell>
          <cell r="D1559" t="str">
            <v>5 kg</v>
          </cell>
        </row>
        <row r="1560">
          <cell r="A1560">
            <v>2730</v>
          </cell>
          <cell r="B1560" t="str">
            <v>NITROANISÓIS, LÍQUIDOS</v>
          </cell>
          <cell r="C1560">
            <v>333</v>
          </cell>
          <cell r="D1560" t="str">
            <v>5 L</v>
          </cell>
        </row>
        <row r="1561">
          <cell r="A1561">
            <v>2732</v>
          </cell>
          <cell r="B1561" t="str">
            <v>NITROBROMOBENZENOS, LÍQUIDOS</v>
          </cell>
          <cell r="C1561">
            <v>333</v>
          </cell>
          <cell r="D1561" t="str">
            <v>5 L</v>
          </cell>
        </row>
        <row r="1562">
          <cell r="A1562">
            <v>2733</v>
          </cell>
          <cell r="B1562" t="str">
            <v>AMINAS, INFLAMÁVEIS, CORROSIVAS, N.E., ou POLIAMINAS, INFLAMÁVEIS, CORROSIVAS, N.E.</v>
          </cell>
          <cell r="C1562">
            <v>20</v>
          </cell>
          <cell r="D1562" t="str">
            <v>1 L</v>
          </cell>
        </row>
        <row r="1563">
          <cell r="A1563">
            <v>2734</v>
          </cell>
          <cell r="B1563" t="str">
            <v>AMINAS,   CORROSIVAS,   INFLAMÁVEIS,   LÍQUIDAS,   N.E.   ou   POLIAMINAS,   CORROSIVAS,   INFLAMÁVEIS, LÍQUIDAS, N.E.</v>
          </cell>
          <cell r="C1563">
            <v>20</v>
          </cell>
          <cell r="D1563" t="str">
            <v>1 L</v>
          </cell>
        </row>
        <row r="1564">
          <cell r="A1564">
            <v>2735</v>
          </cell>
          <cell r="B1564" t="str">
            <v>AMINAS, CORROSIVAS, LÍQUIDAS, N.E., ou POLIAMINAS, CORROSIVAS, LÍQUIDAS, N.E.</v>
          </cell>
          <cell r="C1564">
            <v>20</v>
          </cell>
          <cell r="D1564" t="str">
            <v>1 L</v>
          </cell>
        </row>
        <row r="1565">
          <cell r="A1565">
            <v>2738</v>
          </cell>
          <cell r="B1565" t="str">
            <v>N-BUTILANILINA</v>
          </cell>
          <cell r="C1565">
            <v>333</v>
          </cell>
          <cell r="D1565" t="str">
            <v>100 ml</v>
          </cell>
        </row>
        <row r="1566">
          <cell r="A1566">
            <v>2739</v>
          </cell>
          <cell r="B1566" t="str">
            <v>ANIDRIDO BUTÍRICO</v>
          </cell>
          <cell r="C1566">
            <v>1000</v>
          </cell>
          <cell r="D1566" t="str">
            <v>5 L</v>
          </cell>
        </row>
        <row r="1567">
          <cell r="A1567">
            <v>2740</v>
          </cell>
          <cell r="B1567" t="str">
            <v>CLOROFORMIATO DE n-PROPILA</v>
          </cell>
          <cell r="C1567">
            <v>20</v>
          </cell>
          <cell r="D1567" t="str">
            <v>ZERO</v>
          </cell>
        </row>
        <row r="1568">
          <cell r="A1568">
            <v>2741</v>
          </cell>
          <cell r="B1568" t="str">
            <v>HIPOCLORITO DE BÁRIO com mais de 22% de cloro livre</v>
          </cell>
          <cell r="C1568">
            <v>333</v>
          </cell>
          <cell r="D1568" t="str">
            <v>1 kg</v>
          </cell>
        </row>
        <row r="1569">
          <cell r="A1569">
            <v>2742</v>
          </cell>
          <cell r="B1569" t="str">
            <v>CLOROFORMIATOS, TÓXICOS, CORROSIVOS, INFLAMÁVEIS, N.E.</v>
          </cell>
          <cell r="C1569">
            <v>333</v>
          </cell>
          <cell r="D1569" t="str">
            <v>100 ml</v>
          </cell>
        </row>
        <row r="1570">
          <cell r="A1570">
            <v>2743</v>
          </cell>
          <cell r="B1570" t="str">
            <v>CLOROFORMIATO DE n-BUTILA</v>
          </cell>
          <cell r="C1570">
            <v>333</v>
          </cell>
          <cell r="D1570" t="str">
            <v>100 ml</v>
          </cell>
        </row>
        <row r="1571">
          <cell r="A1571">
            <v>2744</v>
          </cell>
          <cell r="B1571" t="str">
            <v>CLOROFORMIATO DE CICLOBUTILA</v>
          </cell>
          <cell r="C1571">
            <v>333</v>
          </cell>
          <cell r="D1571" t="str">
            <v>100 ml</v>
          </cell>
        </row>
        <row r="1572">
          <cell r="A1572">
            <v>2745</v>
          </cell>
          <cell r="B1572" t="str">
            <v>CLOROFORMIATO DE CLOROMETILA</v>
          </cell>
          <cell r="C1572">
            <v>333</v>
          </cell>
          <cell r="D1572" t="str">
            <v>100 ml</v>
          </cell>
        </row>
        <row r="1573">
          <cell r="A1573">
            <v>2746</v>
          </cell>
          <cell r="B1573" t="str">
            <v>CLOROFORMIATO DE FENILA</v>
          </cell>
          <cell r="C1573">
            <v>333</v>
          </cell>
          <cell r="D1573" t="str">
            <v>100 ml</v>
          </cell>
        </row>
        <row r="1574">
          <cell r="A1574">
            <v>2747</v>
          </cell>
          <cell r="B1574" t="str">
            <v>CLOROFORMIATO DE t-BUTILCICLO-HEXILA</v>
          </cell>
          <cell r="C1574">
            <v>333</v>
          </cell>
          <cell r="D1574" t="str">
            <v>5 L</v>
          </cell>
        </row>
        <row r="1575">
          <cell r="A1575">
            <v>2748</v>
          </cell>
          <cell r="B1575" t="str">
            <v>CLOROFORMIATO DE 2-ETILHEXILA</v>
          </cell>
          <cell r="C1575">
            <v>333</v>
          </cell>
          <cell r="D1575" t="str">
            <v>100 ml</v>
          </cell>
        </row>
        <row r="1576">
          <cell r="A1576">
            <v>2749</v>
          </cell>
          <cell r="B1576" t="str">
            <v>TETRAMETILSILANO</v>
          </cell>
          <cell r="C1576">
            <v>20</v>
          </cell>
          <cell r="D1576" t="str">
            <v>ZERO</v>
          </cell>
        </row>
        <row r="1577">
          <cell r="A1577">
            <v>2750</v>
          </cell>
          <cell r="B1577" t="str">
            <v>1,3-DICLOROPROPANOL-2</v>
          </cell>
          <cell r="C1577">
            <v>333</v>
          </cell>
          <cell r="D1577" t="str">
            <v>100 ml</v>
          </cell>
        </row>
        <row r="1578">
          <cell r="A1578">
            <v>2751</v>
          </cell>
          <cell r="B1578" t="str">
            <v>CLORETO DE DIETILTIOFOSFORILA</v>
          </cell>
          <cell r="C1578">
            <v>333</v>
          </cell>
          <cell r="D1578" t="str">
            <v>1 L</v>
          </cell>
        </row>
        <row r="1579">
          <cell r="A1579">
            <v>2752</v>
          </cell>
          <cell r="B1579" t="str">
            <v>1,2-EPÓXI-3-ETOXIPROPANO</v>
          </cell>
          <cell r="C1579">
            <v>1000</v>
          </cell>
          <cell r="D1579" t="str">
            <v>5 L</v>
          </cell>
        </row>
        <row r="1580">
          <cell r="A1580">
            <v>2753</v>
          </cell>
          <cell r="B1580" t="str">
            <v>N-ETILBENZILTOLUIDINAS, LÍQUIDAS</v>
          </cell>
          <cell r="C1580">
            <v>333</v>
          </cell>
          <cell r="D1580" t="str">
            <v>5 L</v>
          </cell>
        </row>
        <row r="1581">
          <cell r="A1581">
            <v>2754</v>
          </cell>
          <cell r="B1581" t="str">
            <v>N-ETILTOLUIDINAS</v>
          </cell>
          <cell r="C1581">
            <v>333</v>
          </cell>
          <cell r="D1581" t="str">
            <v>100 ml</v>
          </cell>
        </row>
        <row r="1582">
          <cell r="A1582">
            <v>2757</v>
          </cell>
          <cell r="B1582" t="str">
            <v>PESTICIDA À BASE DE CARBAMATOS, SÓLIDO, TÓXICO</v>
          </cell>
          <cell r="C1582">
            <v>20</v>
          </cell>
          <cell r="D1582" t="str">
            <v>5 kg</v>
          </cell>
        </row>
        <row r="1583">
          <cell r="A1583">
            <v>2758</v>
          </cell>
          <cell r="B1583" t="str">
            <v>PESTICIDA À BASE DE CARBAMATOS, LÍQUIDO, INFLAMÁVEL, TÓXICO,  com PFg inferior a 23ºC</v>
          </cell>
          <cell r="C1583">
            <v>20</v>
          </cell>
          <cell r="D1583" t="str">
            <v>1 L</v>
          </cell>
        </row>
        <row r="1584">
          <cell r="A1584">
            <v>2759</v>
          </cell>
          <cell r="B1584" t="str">
            <v>PESTICIDA À BASE DE ARSÊNIO, SÓLIDO, TÓXICO</v>
          </cell>
          <cell r="C1584">
            <v>20</v>
          </cell>
          <cell r="D1584" t="str">
            <v>5 kg</v>
          </cell>
        </row>
        <row r="1585">
          <cell r="A1585">
            <v>2760</v>
          </cell>
          <cell r="B1585" t="str">
            <v>PESTICIDA À BASE DE ARSÊNIO, INFLAMÁVEL, LÍQUIDO, TÓXICO,  com PFg inferior a 23ºC</v>
          </cell>
          <cell r="C1585">
            <v>20</v>
          </cell>
          <cell r="D1585" t="str">
            <v>1 L</v>
          </cell>
        </row>
        <row r="1586">
          <cell r="A1586">
            <v>2761</v>
          </cell>
          <cell r="B1586" t="str">
            <v>PESTICIDA À BASE DE ORGANOCLORADOS, SÓLIDO, TÓXICO</v>
          </cell>
          <cell r="C1586">
            <v>20</v>
          </cell>
          <cell r="D1586" t="str">
            <v>5 kg</v>
          </cell>
        </row>
        <row r="1587">
          <cell r="A1587">
            <v>2762</v>
          </cell>
          <cell r="B1587" t="str">
            <v>PESTICIDA À BASE DE ORGANOCLORADOS, LÍQUIDO, INFLAMÁVEL, TÓXICO,  com PFg inferior a 23ºC</v>
          </cell>
          <cell r="C1587">
            <v>20</v>
          </cell>
          <cell r="D1587" t="str">
            <v>1 L</v>
          </cell>
        </row>
        <row r="1588">
          <cell r="A1588">
            <v>2763</v>
          </cell>
          <cell r="B1588" t="str">
            <v>PESTICIDA À BASE DE TRIAZINA, SÓLIDO, TÓXICO</v>
          </cell>
          <cell r="C1588">
            <v>20</v>
          </cell>
          <cell r="D1588" t="str">
            <v>5 kg</v>
          </cell>
        </row>
        <row r="1589">
          <cell r="A1589">
            <v>2764</v>
          </cell>
          <cell r="B1589" t="str">
            <v>PESTICIDA À BASE DE TRIAZINA, LÍQUIDO, INFLAMÁVEL, TÓXICO,  com PFg inferior a 23ºC</v>
          </cell>
          <cell r="C1589">
            <v>20</v>
          </cell>
          <cell r="D1589" t="str">
            <v>1 L</v>
          </cell>
        </row>
        <row r="1590">
          <cell r="A1590">
            <v>2771</v>
          </cell>
          <cell r="B1590" t="str">
            <v>PESTICIDA À BASE DE TIOCARBAMATOS, SÓLIDO, TÓXICO</v>
          </cell>
          <cell r="C1590">
            <v>20</v>
          </cell>
          <cell r="D1590" t="str">
            <v>5 kg</v>
          </cell>
        </row>
        <row r="1591">
          <cell r="A1591">
            <v>2772</v>
          </cell>
          <cell r="B1591" t="str">
            <v>PESTICIDA À BASE DE TIOCARBAMATOS, LÍQUIDO, INFLAMÁVEL, TÓXICO,  com PFg inferior a 23ºC</v>
          </cell>
          <cell r="C1591">
            <v>20</v>
          </cell>
          <cell r="D1591" t="str">
            <v>1 L</v>
          </cell>
        </row>
        <row r="1592">
          <cell r="A1592">
            <v>2775</v>
          </cell>
          <cell r="B1592" t="str">
            <v>PESTICIDA À BASE DE COBRE, SÓLIDO, TÓXICO</v>
          </cell>
          <cell r="C1592">
            <v>20</v>
          </cell>
          <cell r="D1592" t="str">
            <v>5 kg</v>
          </cell>
        </row>
        <row r="1593">
          <cell r="A1593">
            <v>2776</v>
          </cell>
          <cell r="B1593" t="str">
            <v>PESTICIDA À BASE DE COBRE, LÍQUIDO, INFLAMÁVEL, TÓXICO,  com PFg inferior a 23ºC</v>
          </cell>
          <cell r="C1593">
            <v>20</v>
          </cell>
          <cell r="D1593" t="str">
            <v>1 L</v>
          </cell>
        </row>
        <row r="1594">
          <cell r="A1594">
            <v>2777</v>
          </cell>
          <cell r="B1594" t="str">
            <v>PESTICIDA À BASE DE MERCÚRIO, SÓLIDO, TÓXICO</v>
          </cell>
          <cell r="C1594">
            <v>20</v>
          </cell>
          <cell r="D1594" t="str">
            <v>5 kg</v>
          </cell>
        </row>
        <row r="1595">
          <cell r="A1595">
            <v>2778</v>
          </cell>
          <cell r="B1595" t="str">
            <v>PESTICIDA À BASE DE MERCÚRIO, LÍQUIDO, INFLAMÁVEL, TÓXICO,  com PFg inferior a 23ºC</v>
          </cell>
          <cell r="C1595">
            <v>20</v>
          </cell>
          <cell r="D1595" t="str">
            <v>1 L</v>
          </cell>
        </row>
        <row r="1596">
          <cell r="A1596">
            <v>2779</v>
          </cell>
          <cell r="B1596" t="str">
            <v>PESTICIDA À BASE DE NITROFENOL SUBSTITUÍDO, SÓLIDO, TÓXICO</v>
          </cell>
          <cell r="C1596">
            <v>20</v>
          </cell>
          <cell r="D1596" t="str">
            <v>5 kg</v>
          </cell>
        </row>
        <row r="1597">
          <cell r="A1597">
            <v>2780</v>
          </cell>
          <cell r="B1597" t="str">
            <v>PESTICIDA À BASE DE NITROFENOL SUBSTITUÍDO, LÍQUIDO, INFLAMÁVEL, TÓXICO,  com PFg inferior a 23ºC</v>
          </cell>
          <cell r="C1597">
            <v>20</v>
          </cell>
          <cell r="D1597" t="str">
            <v>1 L</v>
          </cell>
        </row>
        <row r="1598">
          <cell r="A1598">
            <v>2781</v>
          </cell>
          <cell r="B1598" t="str">
            <v>PESTICIDA À BASE DE DIPIRIDÍLIO, SÓLIDO, TÓXICO</v>
          </cell>
          <cell r="C1598">
            <v>20</v>
          </cell>
          <cell r="D1598" t="str">
            <v>5 kg</v>
          </cell>
        </row>
        <row r="1599">
          <cell r="A1599">
            <v>2782</v>
          </cell>
          <cell r="B1599" t="str">
            <v>PESTICIDA À BASE DE DIPIRIDÍLIO, LÍQUIDO, INFLAMÁVEL, TÓXICO,  com PFg inferior a 23ºC</v>
          </cell>
          <cell r="C1599">
            <v>20</v>
          </cell>
          <cell r="D1599" t="str">
            <v>1 L</v>
          </cell>
        </row>
        <row r="1600">
          <cell r="A1600">
            <v>2783</v>
          </cell>
          <cell r="B1600" t="str">
            <v>PESTICIDA À BASE DE ORGANOFOSFORADOS, SÓLIDO, TÓXICO</v>
          </cell>
          <cell r="C1600">
            <v>20</v>
          </cell>
          <cell r="D1600" t="str">
            <v>5 kg</v>
          </cell>
        </row>
        <row r="1601">
          <cell r="A1601">
            <v>2784</v>
          </cell>
          <cell r="B1601" t="str">
            <v>PESTICIDA À BASE DE ORGANOFOSFORADOS, LÍQUIDO, INFLAMÁVEL, TÓXICO,  com PFg inferior a 23ºC</v>
          </cell>
          <cell r="C1601">
            <v>20</v>
          </cell>
          <cell r="D1601" t="str">
            <v>1 L</v>
          </cell>
        </row>
        <row r="1602">
          <cell r="A1602">
            <v>2785</v>
          </cell>
          <cell r="B1602" t="str">
            <v>4-TIAPENTANAL</v>
          </cell>
          <cell r="C1602">
            <v>333</v>
          </cell>
          <cell r="D1602" t="str">
            <v>5 L</v>
          </cell>
        </row>
        <row r="1603">
          <cell r="A1603">
            <v>2786</v>
          </cell>
          <cell r="B1603" t="str">
            <v>PESTICIDA À BASE DE ORGANOESTÂNICOS, SÓLIDOS, TÓXICOS</v>
          </cell>
          <cell r="C1603">
            <v>20</v>
          </cell>
          <cell r="D1603" t="str">
            <v>5 kg</v>
          </cell>
        </row>
        <row r="1604">
          <cell r="A1604">
            <v>2787</v>
          </cell>
          <cell r="B1604" t="str">
            <v>PESTICIDA À BASE DE ORGANOESTÂNICOS, LÍQUIDO, INFLAMÁVEL, TÓXICO,  com PFg inferior a 23ºC</v>
          </cell>
          <cell r="C1604">
            <v>20</v>
          </cell>
          <cell r="D1604" t="str">
            <v>1 L</v>
          </cell>
        </row>
        <row r="1605">
          <cell r="A1605">
            <v>2788</v>
          </cell>
          <cell r="B1605" t="str">
            <v>ESTANHO COMPOSTO ORGÂNICO, LÍQUIDO, N.E.</v>
          </cell>
          <cell r="C1605">
            <v>20</v>
          </cell>
          <cell r="D1605" t="str">
            <v>100 ml</v>
          </cell>
        </row>
        <row r="1606">
          <cell r="A1606">
            <v>2789</v>
          </cell>
          <cell r="B1606" t="str">
            <v>ÁCIDO ACÉTICO, GLACIAL, ou ÁCIDO, ACÉTICO SOLUÇÃO, com mais de 80% de ácido, em massa</v>
          </cell>
          <cell r="C1606">
            <v>333</v>
          </cell>
          <cell r="D1606" t="str">
            <v>1 L</v>
          </cell>
        </row>
        <row r="1607">
          <cell r="A1607">
            <v>2790</v>
          </cell>
          <cell r="B1607" t="str">
            <v>ÁCIDO ACÉTICO SOLUÇÃO, com não menos de 50% e até 80% de ácido em massa</v>
          </cell>
          <cell r="C1607">
            <v>333</v>
          </cell>
          <cell r="D1607" t="str">
            <v>1 L</v>
          </cell>
        </row>
        <row r="1608">
          <cell r="A1608">
            <v>2790</v>
          </cell>
          <cell r="B1608" t="str">
            <v>ÁCIDO ACÉTICO SOLUÇÃO, com mais de 10% e menos de 50% de ácido, em massa</v>
          </cell>
          <cell r="C1608">
            <v>1000</v>
          </cell>
          <cell r="D1608" t="str">
            <v>5 L</v>
          </cell>
        </row>
        <row r="1609">
          <cell r="A1609">
            <v>2793</v>
          </cell>
          <cell r="B1609" t="str">
            <v>METAL FERROSO, LIMALHAS, LASCAS, CAVACOS ou APARAS, sob forma passível de autoaquecimento</v>
          </cell>
          <cell r="C1609">
            <v>1000</v>
          </cell>
          <cell r="D1609" t="str">
            <v>ZERO</v>
          </cell>
        </row>
        <row r="1610">
          <cell r="A1610">
            <v>2794</v>
          </cell>
          <cell r="B1610" t="str">
            <v>BATERIAS elétricas, ÚMIDAS, CONTENDO ÁCIDO</v>
          </cell>
          <cell r="C1610">
            <v>1000</v>
          </cell>
          <cell r="D1610" t="str">
            <v>1 L</v>
          </cell>
        </row>
        <row r="1611">
          <cell r="A1611">
            <v>2795</v>
          </cell>
          <cell r="B1611" t="str">
            <v>BATERIAS elétricas, ÚMIDAS, CONTENDO ÁLCALIS</v>
          </cell>
          <cell r="C1611">
            <v>1000</v>
          </cell>
          <cell r="D1611" t="str">
            <v>1 L</v>
          </cell>
        </row>
        <row r="1612">
          <cell r="A1612">
            <v>2796</v>
          </cell>
          <cell r="B1612" t="str">
            <v>ÁCIDO SULFÚRICO com até 51% de ácido, ou FLUIDO ÁCIDO PARA BATERIAS</v>
          </cell>
          <cell r="C1612">
            <v>333</v>
          </cell>
          <cell r="D1612" t="str">
            <v>1 L</v>
          </cell>
        </row>
        <row r="1613">
          <cell r="A1613">
            <v>2797</v>
          </cell>
          <cell r="B1613" t="str">
            <v>FLUIDO PARA BATERIAS, ALCALINO</v>
          </cell>
          <cell r="C1613">
            <v>333</v>
          </cell>
          <cell r="D1613" t="str">
            <v>1 L</v>
          </cell>
        </row>
        <row r="1614">
          <cell r="A1614">
            <v>2798</v>
          </cell>
          <cell r="B1614" t="str">
            <v>DICLORETO DE FOSFOROFENIL</v>
          </cell>
          <cell r="C1614">
            <v>333</v>
          </cell>
          <cell r="D1614" t="str">
            <v>1 L</v>
          </cell>
        </row>
        <row r="1615">
          <cell r="A1615">
            <v>2799</v>
          </cell>
          <cell r="B1615" t="str">
            <v>DITIOCLORETO DE FOSFOROFENIL</v>
          </cell>
          <cell r="C1615">
            <v>333</v>
          </cell>
          <cell r="D1615" t="str">
            <v>1 L</v>
          </cell>
        </row>
        <row r="1616">
          <cell r="A1616">
            <v>2800</v>
          </cell>
          <cell r="B1616" t="str">
            <v>BATERIAS elétricas, ÚMIDAS, Á PROVA DE VAZAMENTO</v>
          </cell>
          <cell r="C1616">
            <v>1000</v>
          </cell>
          <cell r="D1616" t="str">
            <v>1 L</v>
          </cell>
        </row>
        <row r="1617">
          <cell r="A1617">
            <v>2801</v>
          </cell>
          <cell r="B1617" t="str">
            <v>CORANTE, CORROSIVO, LÍQUIDO, N.E., ou INTERMEDIÁRIO PARA CORANTES, CORROSIVO, LÍQUIDO, N.E.</v>
          </cell>
          <cell r="C1617">
            <v>20</v>
          </cell>
          <cell r="D1617" t="str">
            <v>1 L</v>
          </cell>
        </row>
        <row r="1618">
          <cell r="A1618">
            <v>2802</v>
          </cell>
          <cell r="B1618" t="str">
            <v>CLORETO DE COBRE</v>
          </cell>
          <cell r="C1618">
            <v>1000</v>
          </cell>
          <cell r="D1618" t="str">
            <v>5 kg</v>
          </cell>
        </row>
        <row r="1619">
          <cell r="A1619">
            <v>2803</v>
          </cell>
          <cell r="B1619" t="str">
            <v>GÁLIO</v>
          </cell>
          <cell r="C1619">
            <v>1000</v>
          </cell>
          <cell r="D1619" t="str">
            <v>5 kg</v>
          </cell>
        </row>
        <row r="1620">
          <cell r="A1620">
            <v>2805</v>
          </cell>
          <cell r="B1620" t="str">
            <v>HIDRETO DE LÍTIO, SÓLIDO FUNDIDO</v>
          </cell>
          <cell r="C1620">
            <v>333</v>
          </cell>
          <cell r="D1620" t="str">
            <v>500 g</v>
          </cell>
        </row>
        <row r="1621">
          <cell r="A1621">
            <v>2806</v>
          </cell>
          <cell r="B1621" t="str">
            <v>NITRETO DE LÍTIO</v>
          </cell>
          <cell r="C1621">
            <v>20</v>
          </cell>
          <cell r="D1621" t="str">
            <v>ZERO</v>
          </cell>
        </row>
        <row r="1622">
          <cell r="A1622">
            <v>2807</v>
          </cell>
          <cell r="B1622" t="str">
            <v>MATERIAL MAGNETIZADO</v>
          </cell>
          <cell r="C1622">
            <v>20</v>
          </cell>
          <cell r="D1622" t="str">
            <v>ZERO</v>
          </cell>
        </row>
        <row r="1623">
          <cell r="A1623">
            <v>2809</v>
          </cell>
          <cell r="B1623" t="str">
            <v>MERCÚRIO</v>
          </cell>
          <cell r="C1623">
            <v>1000</v>
          </cell>
          <cell r="D1623" t="str">
            <v>5 kg</v>
          </cell>
        </row>
        <row r="1624">
          <cell r="A1624">
            <v>2810</v>
          </cell>
          <cell r="B1624" t="str">
            <v>LÍQUIDO TÓXICO, ORGÂNICO, N.E.</v>
          </cell>
          <cell r="C1624">
            <v>20</v>
          </cell>
          <cell r="D1624" t="str">
            <v>100 ml</v>
          </cell>
        </row>
        <row r="1625">
          <cell r="A1625">
            <v>2811</v>
          </cell>
          <cell r="B1625" t="str">
            <v>SÓLIDO TÓXICO, ORGÂNICO, N.E.</v>
          </cell>
          <cell r="C1625">
            <v>20</v>
          </cell>
          <cell r="D1625" t="str">
            <v>5 kg</v>
          </cell>
        </row>
        <row r="1626">
          <cell r="A1626">
            <v>2812</v>
          </cell>
          <cell r="B1626" t="str">
            <v>ALUMINATO DE SÓDIO, SÓLIDO</v>
          </cell>
          <cell r="C1626">
            <v>333</v>
          </cell>
          <cell r="D1626" t="str">
            <v>5 kg</v>
          </cell>
        </row>
        <row r="1627">
          <cell r="A1627">
            <v>2813</v>
          </cell>
          <cell r="B1627" t="str">
            <v>SÓLIDO QUE REAGE COM ÁGUA, N.E.</v>
          </cell>
          <cell r="C1627" t="str">
            <v>ZERO</v>
          </cell>
          <cell r="D1627" t="str">
            <v>1 kg</v>
          </cell>
        </row>
        <row r="1628">
          <cell r="A1628">
            <v>2814</v>
          </cell>
          <cell r="B1628" t="str">
            <v>SUBSTÂNCIA INFECTANTE, QUE AFETA SERES HUMANOS</v>
          </cell>
          <cell r="C1628" t="str">
            <v>ZERO</v>
          </cell>
          <cell r="D1628" t="str">
            <v>ZERO</v>
          </cell>
        </row>
        <row r="1629">
          <cell r="A1629">
            <v>2815</v>
          </cell>
          <cell r="B1629" t="str">
            <v>N-AMINOETILPIPERAZINA</v>
          </cell>
          <cell r="C1629">
            <v>1000</v>
          </cell>
          <cell r="D1629" t="str">
            <v>5 L</v>
          </cell>
        </row>
        <row r="1630">
          <cell r="A1630">
            <v>2817</v>
          </cell>
          <cell r="B1630" t="str">
            <v>HIDROGENODIFLUORETO DE AMÔNIO SOLUÇÃO</v>
          </cell>
          <cell r="C1630">
            <v>333</v>
          </cell>
          <cell r="D1630" t="str">
            <v>1 L</v>
          </cell>
        </row>
        <row r="1631">
          <cell r="A1631">
            <v>2818</v>
          </cell>
          <cell r="B1631" t="str">
            <v>POLISSULFETO DE AMÔNIO SOLUÇÃO</v>
          </cell>
          <cell r="C1631">
            <v>333</v>
          </cell>
          <cell r="D1631" t="str">
            <v>1 L</v>
          </cell>
        </row>
        <row r="1632">
          <cell r="A1632">
            <v>2819</v>
          </cell>
          <cell r="B1632" t="str">
            <v>FOSFATO ÁCIDO DE AMILA</v>
          </cell>
          <cell r="C1632">
            <v>1000</v>
          </cell>
          <cell r="D1632" t="str">
            <v>5 L</v>
          </cell>
        </row>
        <row r="1633">
          <cell r="A1633">
            <v>2820</v>
          </cell>
          <cell r="B1633" t="str">
            <v>ÁCIDO BUTÍRICO</v>
          </cell>
          <cell r="C1633">
            <v>1000</v>
          </cell>
          <cell r="D1633" t="str">
            <v>5 L</v>
          </cell>
        </row>
        <row r="1634">
          <cell r="A1634">
            <v>2821</v>
          </cell>
          <cell r="B1634" t="str">
            <v>FENOL SOLUÇÃO</v>
          </cell>
          <cell r="C1634">
            <v>333</v>
          </cell>
          <cell r="D1634" t="str">
            <v>100 ml</v>
          </cell>
        </row>
        <row r="1635">
          <cell r="A1635">
            <v>2822</v>
          </cell>
          <cell r="B1635" t="str">
            <v>2-CLOROPIRIDINA</v>
          </cell>
          <cell r="C1635">
            <v>333</v>
          </cell>
          <cell r="D1635" t="str">
            <v>100 ml</v>
          </cell>
        </row>
        <row r="1636">
          <cell r="A1636">
            <v>2823</v>
          </cell>
          <cell r="B1636" t="str">
            <v>ÁCIDO CROTÔNICO, SÓLIDO</v>
          </cell>
          <cell r="C1636">
            <v>1000</v>
          </cell>
          <cell r="D1636" t="str">
            <v>5 kg</v>
          </cell>
        </row>
        <row r="1637">
          <cell r="A1637">
            <v>2826</v>
          </cell>
          <cell r="B1637" t="str">
            <v>CLOROTIOFORMIATO DE ETILA</v>
          </cell>
          <cell r="C1637">
            <v>333</v>
          </cell>
          <cell r="D1637" t="str">
            <v>ZERO</v>
          </cell>
        </row>
        <row r="1638">
          <cell r="A1638">
            <v>2829</v>
          </cell>
          <cell r="B1638" t="str">
            <v>ÁCIDO CAPRÓICO</v>
          </cell>
          <cell r="C1638">
            <v>1000</v>
          </cell>
          <cell r="D1638" t="str">
            <v>5 L</v>
          </cell>
        </row>
        <row r="1639">
          <cell r="A1639">
            <v>2830</v>
          </cell>
          <cell r="B1639" t="str">
            <v>LÍTIO-FERRO-SILÍCIO</v>
          </cell>
          <cell r="C1639">
            <v>333</v>
          </cell>
          <cell r="D1639" t="str">
            <v>500 g</v>
          </cell>
        </row>
        <row r="1640">
          <cell r="A1640">
            <v>2831</v>
          </cell>
          <cell r="B1640" t="str">
            <v>1,1,1-TRICLOROETANO</v>
          </cell>
          <cell r="C1640">
            <v>333</v>
          </cell>
          <cell r="D1640" t="str">
            <v>5 L</v>
          </cell>
        </row>
        <row r="1641">
          <cell r="A1641">
            <v>2834</v>
          </cell>
          <cell r="B1641" t="str">
            <v>ÁCIDO FOSFOROSO</v>
          </cell>
          <cell r="C1641">
            <v>1000</v>
          </cell>
          <cell r="D1641" t="str">
            <v>5 kg</v>
          </cell>
        </row>
        <row r="1642">
          <cell r="A1642">
            <v>2835</v>
          </cell>
          <cell r="B1642" t="str">
            <v>HIDRETO DUPLO DE SÓDIO E ALUMÍNIO</v>
          </cell>
          <cell r="C1642">
            <v>333</v>
          </cell>
          <cell r="D1642" t="str">
            <v>500 g</v>
          </cell>
        </row>
        <row r="1643">
          <cell r="A1643">
            <v>2837</v>
          </cell>
          <cell r="B1643" t="str">
            <v>BISSULFATOS, SOLUÇÃO AQUOSA</v>
          </cell>
          <cell r="C1643">
            <v>333</v>
          </cell>
          <cell r="D1643" t="str">
            <v>1 L</v>
          </cell>
        </row>
        <row r="1644">
          <cell r="A1644">
            <v>2838</v>
          </cell>
          <cell r="B1644" t="str">
            <v>BUTIRATO DE VINILA, ESTABILIZADO</v>
          </cell>
          <cell r="C1644">
            <v>333</v>
          </cell>
          <cell r="D1644" t="str">
            <v>1 L</v>
          </cell>
        </row>
        <row r="1645">
          <cell r="A1645">
            <v>2839</v>
          </cell>
          <cell r="B1645" t="str">
            <v>ALDOL</v>
          </cell>
          <cell r="C1645">
            <v>333</v>
          </cell>
          <cell r="D1645" t="str">
            <v>100 ml</v>
          </cell>
        </row>
        <row r="1646">
          <cell r="A1646">
            <v>2840</v>
          </cell>
          <cell r="B1646" t="str">
            <v>BUTIRALDOXIMA</v>
          </cell>
          <cell r="C1646">
            <v>1000</v>
          </cell>
          <cell r="D1646" t="str">
            <v>5 L</v>
          </cell>
        </row>
        <row r="1647">
          <cell r="A1647">
            <v>2841</v>
          </cell>
          <cell r="B1647" t="str">
            <v>DI-n-AMILAMINA</v>
          </cell>
          <cell r="C1647">
            <v>1000</v>
          </cell>
          <cell r="D1647" t="str">
            <v>5 L</v>
          </cell>
        </row>
        <row r="1648">
          <cell r="A1648">
            <v>2842</v>
          </cell>
          <cell r="B1648" t="str">
            <v>NITROETANO</v>
          </cell>
          <cell r="C1648">
            <v>1000</v>
          </cell>
          <cell r="D1648" t="str">
            <v>5 L</v>
          </cell>
        </row>
        <row r="1649">
          <cell r="A1649">
            <v>2844</v>
          </cell>
          <cell r="B1649" t="str">
            <v>CÁLCIO-MANGANÊS-SILÍCIO</v>
          </cell>
          <cell r="C1649">
            <v>1000</v>
          </cell>
          <cell r="D1649" t="str">
            <v>1 kg</v>
          </cell>
        </row>
        <row r="1650">
          <cell r="A1650">
            <v>2845</v>
          </cell>
          <cell r="B1650" t="str">
            <v>LÍQUIDO PIROFÓRICO, ORGÂNICO, N.E.</v>
          </cell>
          <cell r="C1650" t="str">
            <v>ZERO</v>
          </cell>
          <cell r="D1650" t="str">
            <v>ZERO</v>
          </cell>
        </row>
        <row r="1651">
          <cell r="A1651">
            <v>2846</v>
          </cell>
          <cell r="B1651" t="str">
            <v>SÓLIDO PIROFÓRICO, ORGÂNICO, N.E.</v>
          </cell>
          <cell r="C1651" t="str">
            <v>ZERO</v>
          </cell>
          <cell r="D1651" t="str">
            <v>ZERO</v>
          </cell>
        </row>
        <row r="1652">
          <cell r="A1652">
            <v>2849</v>
          </cell>
          <cell r="B1652" t="str">
            <v>3-CLOROPROPANOL-1</v>
          </cell>
          <cell r="C1652">
            <v>333</v>
          </cell>
          <cell r="D1652" t="str">
            <v>5 L</v>
          </cell>
        </row>
        <row r="1653">
          <cell r="A1653">
            <v>2850</v>
          </cell>
          <cell r="B1653" t="str">
            <v>PROPILENO, TETRÂMERO</v>
          </cell>
          <cell r="C1653">
            <v>1000</v>
          </cell>
          <cell r="D1653" t="str">
            <v>5 L</v>
          </cell>
        </row>
        <row r="1654">
          <cell r="A1654">
            <v>2851</v>
          </cell>
          <cell r="B1654" t="str">
            <v>DI-HIDRATO DE TRIFLUORETO DE BORO</v>
          </cell>
          <cell r="C1654">
            <v>333</v>
          </cell>
          <cell r="D1654" t="str">
            <v>1 L</v>
          </cell>
        </row>
        <row r="1655">
          <cell r="A1655">
            <v>2852</v>
          </cell>
          <cell r="B1655" t="str">
            <v>SULFETO DE DIPICRILA, UMEDECIDO com no mínimo 10% de água, em massa</v>
          </cell>
          <cell r="C1655">
            <v>20</v>
          </cell>
          <cell r="D1655" t="str">
            <v>ZERO</v>
          </cell>
        </row>
        <row r="1656">
          <cell r="A1656">
            <v>2853</v>
          </cell>
          <cell r="B1656" t="str">
            <v>FLUORSILICATO DE MAGNÉSIO</v>
          </cell>
          <cell r="C1656">
            <v>333</v>
          </cell>
          <cell r="D1656" t="str">
            <v>5 kg</v>
          </cell>
        </row>
        <row r="1657">
          <cell r="A1657">
            <v>2854</v>
          </cell>
          <cell r="B1657" t="str">
            <v>FLUORSILICATO DE AMÔNIO</v>
          </cell>
          <cell r="C1657">
            <v>333</v>
          </cell>
          <cell r="D1657" t="str">
            <v>5 kg</v>
          </cell>
        </row>
        <row r="1658">
          <cell r="A1658">
            <v>2855</v>
          </cell>
          <cell r="B1658" t="str">
            <v>FLUORSILICATO DE ZINCO</v>
          </cell>
          <cell r="C1658">
            <v>333</v>
          </cell>
          <cell r="D1658" t="str">
            <v>5 kg</v>
          </cell>
        </row>
        <row r="1659">
          <cell r="A1659">
            <v>2856</v>
          </cell>
          <cell r="B1659" t="str">
            <v>FLUORSILICATOS, N.E.</v>
          </cell>
          <cell r="C1659">
            <v>333</v>
          </cell>
          <cell r="D1659" t="str">
            <v>5 kg</v>
          </cell>
        </row>
        <row r="1660">
          <cell r="A1660">
            <v>2857</v>
          </cell>
          <cell r="B1660" t="str">
            <v>MÁQUINAS  DE  REFRIGERAÇÃO  contendo  gases,  não-inflamáveis  e  não  tóxicos,  ou  solução  de  amônia  (Ver  Nº  ONU 2672)</v>
          </cell>
          <cell r="C1660">
            <v>1000</v>
          </cell>
          <cell r="D1660" t="str">
            <v>ZERO</v>
          </cell>
        </row>
        <row r="1661">
          <cell r="A1661">
            <v>2858</v>
          </cell>
          <cell r="B1661" t="str">
            <v>ZIRCÔNIO,  SECO, bobinas  de arame,  chapas metálicas  acabadas, tiras  (mais delgadas  que 254  micra, mas  com espessura</v>
          </cell>
        </row>
        <row r="1662">
          <cell r="A1662">
            <v>2859</v>
          </cell>
          <cell r="B1662" t="str">
            <v>METAVANADATO DE AMÔNIO</v>
          </cell>
          <cell r="C1662">
            <v>333</v>
          </cell>
          <cell r="D1662" t="str">
            <v>500 g</v>
          </cell>
        </row>
        <row r="1663">
          <cell r="A1663">
            <v>2861</v>
          </cell>
          <cell r="B1663" t="str">
            <v>POLIVANADATO DE AMÔNIO</v>
          </cell>
          <cell r="C1663">
            <v>333</v>
          </cell>
          <cell r="D1663" t="str">
            <v>500 g</v>
          </cell>
        </row>
        <row r="1664">
          <cell r="A1664">
            <v>2862</v>
          </cell>
          <cell r="B1664" t="str">
            <v>PENTÓXIDO DE VANÁDIO, não-fundido</v>
          </cell>
          <cell r="C1664">
            <v>333</v>
          </cell>
          <cell r="D1664" t="str">
            <v>5 kg</v>
          </cell>
        </row>
        <row r="1665">
          <cell r="A1665">
            <v>2863</v>
          </cell>
          <cell r="B1665" t="str">
            <v>VANADATO DUPLO DE SÓDIO E AMÔNIO</v>
          </cell>
          <cell r="C1665">
            <v>333</v>
          </cell>
          <cell r="D1665" t="str">
            <v>500 g</v>
          </cell>
        </row>
        <row r="1666">
          <cell r="A1666">
            <v>2864</v>
          </cell>
          <cell r="B1666" t="str">
            <v>METAVANADATO DE POTÁSSIO</v>
          </cell>
          <cell r="C1666">
            <v>333</v>
          </cell>
          <cell r="D1666" t="str">
            <v>500 g</v>
          </cell>
        </row>
        <row r="1667">
          <cell r="A1667">
            <v>2865</v>
          </cell>
          <cell r="B1667" t="str">
            <v>SULFATO DE HIDROXILAMINA</v>
          </cell>
          <cell r="C1667">
            <v>1000</v>
          </cell>
          <cell r="D1667" t="str">
            <v>5 kg</v>
          </cell>
        </row>
        <row r="1668">
          <cell r="A1668">
            <v>2869</v>
          </cell>
          <cell r="B1668" t="str">
            <v>MISTURA DE TRICLORETO DE TITÂNIO</v>
          </cell>
          <cell r="C1668">
            <v>333</v>
          </cell>
          <cell r="D1668" t="str">
            <v>1 kg</v>
          </cell>
        </row>
        <row r="1669">
          <cell r="A1669">
            <v>2870</v>
          </cell>
          <cell r="B1669" t="str">
            <v>BORO-HIDRETO DE ALUMÍNIO</v>
          </cell>
          <cell r="C1669" t="str">
            <v>ZERO</v>
          </cell>
          <cell r="D1669" t="str">
            <v>ZERO</v>
          </cell>
        </row>
        <row r="1670">
          <cell r="A1670">
            <v>2870</v>
          </cell>
          <cell r="B1670" t="str">
            <v>BORO-HIDRETO DE ALUMÍNIO, EM DISPOSITIVOS</v>
          </cell>
          <cell r="C1670" t="str">
            <v>ZERO</v>
          </cell>
          <cell r="D1670" t="str">
            <v>ZERO</v>
          </cell>
        </row>
        <row r="1671">
          <cell r="A1671">
            <v>2871</v>
          </cell>
          <cell r="B1671" t="str">
            <v>ANTIMÔNIO, EM PÓ</v>
          </cell>
          <cell r="C1671">
            <v>333</v>
          </cell>
          <cell r="D1671" t="str">
            <v>5 kg</v>
          </cell>
        </row>
        <row r="1672">
          <cell r="A1672">
            <v>2872</v>
          </cell>
          <cell r="B1672" t="str">
            <v>DIBROMOCLOROPROPANOS</v>
          </cell>
          <cell r="C1672">
            <v>333</v>
          </cell>
          <cell r="D1672" t="str">
            <v>100 ml</v>
          </cell>
        </row>
        <row r="1673">
          <cell r="A1673">
            <v>2873</v>
          </cell>
          <cell r="B1673" t="str">
            <v>DIBUTILAMINOETANOL</v>
          </cell>
          <cell r="C1673">
            <v>333</v>
          </cell>
          <cell r="D1673" t="str">
            <v>5 L</v>
          </cell>
        </row>
        <row r="1674">
          <cell r="A1674">
            <v>2874</v>
          </cell>
          <cell r="B1674" t="str">
            <v>ÁLCOOL FURFURÍLICO</v>
          </cell>
          <cell r="C1674">
            <v>333</v>
          </cell>
          <cell r="D1674" t="str">
            <v>5 L</v>
          </cell>
        </row>
        <row r="1675">
          <cell r="A1675">
            <v>2875</v>
          </cell>
          <cell r="B1675" t="str">
            <v>HEXACLOROFENO</v>
          </cell>
          <cell r="C1675">
            <v>333</v>
          </cell>
          <cell r="D1675" t="str">
            <v>5 kg</v>
          </cell>
        </row>
        <row r="1676">
          <cell r="A1676">
            <v>2876</v>
          </cell>
          <cell r="B1676" t="str">
            <v>RESORCINOL</v>
          </cell>
          <cell r="C1676">
            <v>333</v>
          </cell>
          <cell r="D1676" t="str">
            <v>5 kg</v>
          </cell>
        </row>
        <row r="1677">
          <cell r="A1677">
            <v>2878</v>
          </cell>
          <cell r="B1677" t="str">
            <v>TITÂNIO ESPONJOSO, GRÂNULOS ou TITÂNIO ESPONJOSO, EM PÓ</v>
          </cell>
          <cell r="C1677">
            <v>1000</v>
          </cell>
          <cell r="D1677" t="str">
            <v>5 kg</v>
          </cell>
        </row>
        <row r="1678">
          <cell r="A1678">
            <v>2879</v>
          </cell>
          <cell r="B1678" t="str">
            <v>OXICLORETO DE SELÊNIO</v>
          </cell>
          <cell r="C1678">
            <v>20</v>
          </cell>
          <cell r="D1678" t="str">
            <v>ZERO</v>
          </cell>
        </row>
        <row r="1679">
          <cell r="A1679">
            <v>2880</v>
          </cell>
          <cell r="B1679" t="str">
            <v>HIPOCLORITO DE CÁLCIO, HIDRATADO, ou MISTURA DE HIPOCLORITO DE CÁLCIO, HIDRATADA com 5,5% ou</v>
          </cell>
        </row>
        <row r="1680">
          <cell r="A1680">
            <v>2881</v>
          </cell>
          <cell r="B1680" t="str">
            <v>CATALIZADOR METÁLICO, SECO</v>
          </cell>
          <cell r="C1680" t="str">
            <v>ZERO</v>
          </cell>
          <cell r="D1680" t="str">
            <v>ZERO</v>
          </cell>
        </row>
        <row r="1681">
          <cell r="A1681">
            <v>2900</v>
          </cell>
          <cell r="B1681" t="str">
            <v>SUBSTÂNCIA INFECTANTE, QUE AFETA apenas ANIMAIS</v>
          </cell>
          <cell r="C1681" t="str">
            <v>ZERO</v>
          </cell>
          <cell r="D1681" t="str">
            <v>ZERO</v>
          </cell>
        </row>
        <row r="1682">
          <cell r="A1682">
            <v>2901</v>
          </cell>
          <cell r="B1682" t="str">
            <v>CLORETO DE BROMO</v>
          </cell>
          <cell r="C1682">
            <v>20</v>
          </cell>
          <cell r="D1682" t="str">
            <v>ZERO</v>
          </cell>
        </row>
        <row r="1683">
          <cell r="A1683">
            <v>2902</v>
          </cell>
          <cell r="B1683" t="str">
            <v>PESTICIDA, LÍQUIDO, TÓXICO,  N.E.</v>
          </cell>
          <cell r="C1683">
            <v>20</v>
          </cell>
          <cell r="D1683" t="str">
            <v>100 ml</v>
          </cell>
        </row>
        <row r="1684">
          <cell r="A1684">
            <v>2903</v>
          </cell>
          <cell r="B1684" t="str">
            <v>PESTICIDA, LÍQUIDO, TÓXICO, INFLAMÁVEL,  N.E., com PFg igual ou superior a 23ºC</v>
          </cell>
          <cell r="C1684">
            <v>20</v>
          </cell>
          <cell r="D1684" t="str">
            <v>100 ml</v>
          </cell>
        </row>
        <row r="1685">
          <cell r="A1685">
            <v>2904</v>
          </cell>
          <cell r="B1685" t="str">
            <v>CLOROFENOLATOS, LÍQUIDOS, ou FENOLATOS, LÍQUIDOS</v>
          </cell>
          <cell r="C1685">
            <v>1000</v>
          </cell>
          <cell r="D1685" t="str">
            <v>5 L</v>
          </cell>
        </row>
        <row r="1686">
          <cell r="A1686">
            <v>2905</v>
          </cell>
          <cell r="B1686" t="str">
            <v>CLOROFENOLATOS, SÓLIDOS, ou FENOLATOS, SÓLIDOS</v>
          </cell>
          <cell r="C1686">
            <v>1000</v>
          </cell>
          <cell r="D1686" t="str">
            <v>5 kg</v>
          </cell>
        </row>
        <row r="1687">
          <cell r="A1687">
            <v>2907</v>
          </cell>
          <cell r="B1687" t="str">
            <v>DINITRATO DE ISO-SORBIDE MISTURA, com no mínimo 60% de lactose, manose, amido ou fosfato ácido de cálcio</v>
          </cell>
          <cell r="C1687">
            <v>333</v>
          </cell>
          <cell r="D1687" t="str">
            <v>ZERO</v>
          </cell>
        </row>
        <row r="1688">
          <cell r="A1688">
            <v>2908</v>
          </cell>
          <cell r="B1688" t="str">
            <v>MATERIAL, RADIOATIVO, VOLUME EXCEPTIVO EMBALAGEM VAZIA</v>
          </cell>
          <cell r="C1688" t="str">
            <v>ILIMITADA</v>
          </cell>
          <cell r="D1688" t="str">
            <v>ZERO</v>
          </cell>
        </row>
        <row r="1689">
          <cell r="A1689">
            <v>2909</v>
          </cell>
          <cell r="B1689" t="str">
            <v>MATERIAL  RADIOATIVO,  VOLUME  EXCEPTIVO  -  ARTIGOS  MANUFATURADOS  COM  URÂNIO  NATURAL  ou URÂNIO EMPOBRECIDO ou TÓRIO NATURAL</v>
          </cell>
          <cell r="C1689" t="str">
            <v>ILIMITADA</v>
          </cell>
          <cell r="D1689" t="str">
            <v>ZERO</v>
          </cell>
        </row>
        <row r="1690">
          <cell r="A1690">
            <v>2910</v>
          </cell>
          <cell r="B1690" t="str">
            <v>MATERIAL RADIOATIVO, VOLUME EXCEPTIVO QUANTIDADE LIMITADA DE MATERIAL</v>
          </cell>
          <cell r="C1690" t="str">
            <v>ILIMITADA</v>
          </cell>
          <cell r="D1690" t="str">
            <v>ZERO</v>
          </cell>
        </row>
        <row r="1691">
          <cell r="A1691">
            <v>2911</v>
          </cell>
          <cell r="B1691" t="str">
            <v>MATERIAL RADIOATIVO, VOLUME EXCEPTIVO - INSTRUMENTOS ou ARTIGOS</v>
          </cell>
          <cell r="C1691" t="str">
            <v>ILIMITADA</v>
          </cell>
          <cell r="D1691" t="str">
            <v>ZERO</v>
          </cell>
        </row>
        <row r="1692">
          <cell r="A1692">
            <v>2912</v>
          </cell>
          <cell r="B1692" t="str">
            <v>MATERIAL RADIOATIVO, BAIXA ATIVIDADE ESPECÍFICA (BAE I), não-fissil ou fissil exceptivo</v>
          </cell>
          <cell r="C1692" t="str">
            <v>ZERO</v>
          </cell>
          <cell r="D1692" t="str">
            <v>ZERO</v>
          </cell>
        </row>
        <row r="1693">
          <cell r="A1693">
            <v>2913</v>
          </cell>
          <cell r="B1693" t="str">
            <v>MATERIAL  RADIOATIVO,  OBJETOS  CONTAMINADOS  NA  SUPERFÍCIE  (OCS-I  ou  OCS-II),  não-fissil  ou  fissil</v>
          </cell>
        </row>
        <row r="1694">
          <cell r="A1694">
            <v>2915</v>
          </cell>
          <cell r="B1694" t="str">
            <v>MATERIAL RADIOATIVO, EM VOLUME TIPO A, não sob forma especial, não-fissil ou fissil exceptivo</v>
          </cell>
          <cell r="C1694" t="str">
            <v>ZERO</v>
          </cell>
          <cell r="D1694" t="str">
            <v>ZERO</v>
          </cell>
        </row>
        <row r="1695">
          <cell r="A1695">
            <v>2916</v>
          </cell>
          <cell r="B1695" t="str">
            <v>MATERIAL RADIOATIVO, EM VOLUME TIPO B (U), não fissil ou fissil expectivo</v>
          </cell>
          <cell r="C1695" t="str">
            <v>ZERO</v>
          </cell>
          <cell r="D1695" t="str">
            <v>ZERO</v>
          </cell>
        </row>
        <row r="1696">
          <cell r="A1696">
            <v>2917</v>
          </cell>
          <cell r="B1696" t="str">
            <v>MATERIAL RADIOATIVO, EM VOLUME TIPO B (M), não-fissil ou fissil exceptivo</v>
          </cell>
          <cell r="C1696" t="str">
            <v>ZERO</v>
          </cell>
          <cell r="D1696" t="str">
            <v>ZERO</v>
          </cell>
        </row>
        <row r="1697">
          <cell r="A1697">
            <v>2919</v>
          </cell>
          <cell r="B1697" t="str">
            <v>MATERIAL RADIOATIVO, TRANSPORTADO SOB ARRANJO ESPECIAL, não-fissil ou fissil exceptivo</v>
          </cell>
          <cell r="C1697" t="str">
            <v>ZERO</v>
          </cell>
          <cell r="D1697" t="str">
            <v>ZERO</v>
          </cell>
        </row>
        <row r="1698">
          <cell r="A1698">
            <v>2920</v>
          </cell>
          <cell r="B1698" t="str">
            <v>LÍQUIDO CORROSIVO, INFLAMÁVEL, N.E.</v>
          </cell>
          <cell r="C1698">
            <v>20</v>
          </cell>
          <cell r="D1698" t="str">
            <v>1 L</v>
          </cell>
        </row>
        <row r="1699">
          <cell r="A1699">
            <v>2921</v>
          </cell>
          <cell r="B1699" t="str">
            <v>SÓLIDO CORROSIVO, INFLAMÁVEL, N.E.</v>
          </cell>
          <cell r="C1699">
            <v>20</v>
          </cell>
          <cell r="D1699" t="str">
            <v>1 kg</v>
          </cell>
        </row>
        <row r="1700">
          <cell r="A1700">
            <v>2922</v>
          </cell>
          <cell r="B1700" t="str">
            <v>LÍQUIDO CORROSIVO, TÓXICO, N.E.</v>
          </cell>
          <cell r="C1700">
            <v>20</v>
          </cell>
          <cell r="D1700" t="str">
            <v>1 L</v>
          </cell>
        </row>
        <row r="1701">
          <cell r="A1701">
            <v>2923</v>
          </cell>
          <cell r="B1701" t="str">
            <v>SÓLIDO CORROSIVO, TÓXICO, N.E.</v>
          </cell>
          <cell r="C1701">
            <v>20</v>
          </cell>
          <cell r="D1701" t="str">
            <v>1 kg</v>
          </cell>
        </row>
        <row r="1702">
          <cell r="A1702">
            <v>2924</v>
          </cell>
          <cell r="B1702" t="str">
            <v>LÍQUIDO INFLAMÁVEL, CORROSIVO, N.E.</v>
          </cell>
          <cell r="C1702">
            <v>20</v>
          </cell>
          <cell r="D1702" t="str">
            <v>1 L</v>
          </cell>
        </row>
        <row r="1703">
          <cell r="A1703">
            <v>2925</v>
          </cell>
          <cell r="B1703" t="str">
            <v>SÓLIDO INFLAMÁVEL, CORROSIVO, ORGÂNICO, N.E.</v>
          </cell>
          <cell r="C1703">
            <v>333</v>
          </cell>
          <cell r="D1703" t="str">
            <v>1 kg</v>
          </cell>
        </row>
        <row r="1704">
          <cell r="A1704">
            <v>2926</v>
          </cell>
          <cell r="B1704" t="str">
            <v>SÓLIDO INFLAMÁVEL, TÓXICO, ORGÂNICO, N.E.</v>
          </cell>
          <cell r="C1704">
            <v>333</v>
          </cell>
          <cell r="D1704" t="str">
            <v>1 kg</v>
          </cell>
        </row>
        <row r="1705">
          <cell r="A1705">
            <v>2927</v>
          </cell>
          <cell r="B1705" t="str">
            <v>LÍQUIDO TÓXICO, CORROSIVO, ORGÂNICO, N.E.</v>
          </cell>
          <cell r="C1705">
            <v>20</v>
          </cell>
          <cell r="D1705" t="str">
            <v>100 ml</v>
          </cell>
        </row>
        <row r="1706">
          <cell r="A1706">
            <v>2928</v>
          </cell>
          <cell r="B1706" t="str">
            <v>SÓLIDO TÓXICO, CORROSIVO, ORGÂNICO, N.E.</v>
          </cell>
          <cell r="C1706">
            <v>20</v>
          </cell>
          <cell r="D1706" t="str">
            <v>500 g</v>
          </cell>
        </row>
        <row r="1707">
          <cell r="A1707">
            <v>2929</v>
          </cell>
          <cell r="B1707" t="str">
            <v>LÍQUIDO TÓXICO, INFLAMÁVEL, ORGÂNICO, N.E.</v>
          </cell>
          <cell r="C1707">
            <v>20</v>
          </cell>
          <cell r="D1707" t="str">
            <v>100 ml</v>
          </cell>
        </row>
        <row r="1708">
          <cell r="A1708">
            <v>2930</v>
          </cell>
          <cell r="B1708" t="str">
            <v>SÓLIDO TÓXICO, INFLAMÁVEL, ORGÂNICO, N.E.</v>
          </cell>
          <cell r="C1708">
            <v>20</v>
          </cell>
          <cell r="D1708" t="str">
            <v>500 g</v>
          </cell>
        </row>
        <row r="1709">
          <cell r="A1709">
            <v>2931</v>
          </cell>
          <cell r="B1709" t="str">
            <v>SULFATO DE VANADILA</v>
          </cell>
          <cell r="C1709">
            <v>333</v>
          </cell>
          <cell r="D1709" t="str">
            <v>500 g</v>
          </cell>
        </row>
        <row r="1710">
          <cell r="A1710">
            <v>2933</v>
          </cell>
          <cell r="B1710" t="str">
            <v>2-CLOROPROPIONATO DE METILA</v>
          </cell>
          <cell r="C1710">
            <v>1000</v>
          </cell>
          <cell r="D1710" t="str">
            <v>5 L</v>
          </cell>
        </row>
        <row r="1711">
          <cell r="A1711">
            <v>2934</v>
          </cell>
          <cell r="B1711" t="str">
            <v>2-CLOROPROPIONATO DE ISOPROPILA</v>
          </cell>
          <cell r="C1711">
            <v>1000</v>
          </cell>
          <cell r="D1711" t="str">
            <v>5 L</v>
          </cell>
        </row>
        <row r="1712">
          <cell r="A1712">
            <v>2935</v>
          </cell>
          <cell r="B1712" t="str">
            <v>2-CLOROPROPIONATO DE ETILA</v>
          </cell>
          <cell r="C1712">
            <v>1000</v>
          </cell>
          <cell r="D1712" t="str">
            <v>5 L</v>
          </cell>
        </row>
        <row r="1713">
          <cell r="A1713">
            <v>2936</v>
          </cell>
          <cell r="B1713" t="str">
            <v>ÁCIDO TIOLÁTICO</v>
          </cell>
          <cell r="C1713">
            <v>333</v>
          </cell>
          <cell r="D1713" t="str">
            <v>100 ml</v>
          </cell>
        </row>
        <row r="1714">
          <cell r="A1714">
            <v>2937</v>
          </cell>
          <cell r="B1714" t="str">
            <v>ÁLCOOL alfa-METILBENZÍLICO, LÍQUIDO</v>
          </cell>
          <cell r="C1714">
            <v>333</v>
          </cell>
          <cell r="D1714" t="str">
            <v>5 L</v>
          </cell>
        </row>
        <row r="1715">
          <cell r="A1715">
            <v>2940</v>
          </cell>
          <cell r="B1715" t="str">
            <v>9-FOSFABICICLONONANOS (FOSFINAS DE CICLOOCTADIENO)</v>
          </cell>
          <cell r="C1715">
            <v>333</v>
          </cell>
          <cell r="D1715" t="str">
            <v>ZERO</v>
          </cell>
        </row>
        <row r="1716">
          <cell r="A1716">
            <v>2941</v>
          </cell>
          <cell r="B1716" t="str">
            <v>FLUORANILINAS</v>
          </cell>
          <cell r="C1716">
            <v>333</v>
          </cell>
          <cell r="D1716" t="str">
            <v>5 L</v>
          </cell>
        </row>
        <row r="1717">
          <cell r="A1717">
            <v>2942</v>
          </cell>
          <cell r="B1717" t="str">
            <v>2-TRIFLUORMETILANILINA</v>
          </cell>
          <cell r="C1717">
            <v>333</v>
          </cell>
          <cell r="D1717" t="str">
            <v>5 L</v>
          </cell>
        </row>
        <row r="1718">
          <cell r="A1718">
            <v>2943</v>
          </cell>
          <cell r="B1718" t="str">
            <v>TETRA-HIDROFURFURILAMINA</v>
          </cell>
          <cell r="C1718">
            <v>1000</v>
          </cell>
          <cell r="D1718" t="str">
            <v>5 L</v>
          </cell>
        </row>
        <row r="1719">
          <cell r="A1719">
            <v>2945</v>
          </cell>
          <cell r="B1719" t="str">
            <v>N-METILBUTILAMINA</v>
          </cell>
          <cell r="C1719">
            <v>333</v>
          </cell>
          <cell r="D1719" t="str">
            <v>1 L</v>
          </cell>
        </row>
        <row r="1720">
          <cell r="A1720">
            <v>2946</v>
          </cell>
          <cell r="B1720" t="str">
            <v>2-AMINO-5-DIETILAMINOPENTANO</v>
          </cell>
          <cell r="C1720">
            <v>333</v>
          </cell>
          <cell r="D1720" t="str">
            <v>5 L</v>
          </cell>
        </row>
        <row r="1721">
          <cell r="A1721">
            <v>2947</v>
          </cell>
          <cell r="B1721" t="str">
            <v>CLOROACETATO DE ISOPROPILA</v>
          </cell>
          <cell r="C1721">
            <v>1000</v>
          </cell>
          <cell r="D1721" t="str">
            <v>5 L</v>
          </cell>
        </row>
        <row r="1722">
          <cell r="A1722">
            <v>2948</v>
          </cell>
          <cell r="B1722" t="str">
            <v>3-TRIFLUORMETILANILINA</v>
          </cell>
          <cell r="C1722">
            <v>333</v>
          </cell>
          <cell r="D1722" t="str">
            <v>100 ml</v>
          </cell>
        </row>
        <row r="1723">
          <cell r="A1723">
            <v>2949</v>
          </cell>
          <cell r="B1723" t="str">
            <v>HIDROSSULFETO DE SÓDIO HIDRATADO, com no mínimo, 25% de água de cristalização</v>
          </cell>
          <cell r="C1723">
            <v>333</v>
          </cell>
          <cell r="D1723" t="str">
            <v>1 kg</v>
          </cell>
        </row>
        <row r="1724">
          <cell r="A1724">
            <v>2950</v>
          </cell>
          <cell r="B1724" t="str">
            <v>MAGNÉSIO, GRÂNULOS REVESTIDOS, partículas com dimensões não-inferiores a 149 micra</v>
          </cell>
          <cell r="C1724">
            <v>1000</v>
          </cell>
          <cell r="D1724" t="str">
            <v>1 kg</v>
          </cell>
        </row>
        <row r="1725">
          <cell r="A1725">
            <v>2956</v>
          </cell>
          <cell r="B1725" t="str">
            <v>5-t-BUTIL-2,4,6-TRINITRO-m-XILENO (ALMISCAR XILENO)</v>
          </cell>
          <cell r="C1725">
            <v>1000</v>
          </cell>
          <cell r="D1725" t="str">
            <v>5 kg</v>
          </cell>
        </row>
        <row r="1726">
          <cell r="A1726">
            <v>2965</v>
          </cell>
          <cell r="B1726" t="str">
            <v>DIMETILETERATO DE TRIFLUORETO DE BORO</v>
          </cell>
          <cell r="C1726" t="str">
            <v>ZERO</v>
          </cell>
          <cell r="D1726" t="str">
            <v>ZERO</v>
          </cell>
        </row>
        <row r="1727">
          <cell r="A1727">
            <v>2966</v>
          </cell>
          <cell r="B1727" t="str">
            <v>TIOGLICOL</v>
          </cell>
          <cell r="C1727">
            <v>333</v>
          </cell>
          <cell r="D1727" t="str">
            <v>100 ml</v>
          </cell>
        </row>
        <row r="1728">
          <cell r="A1728">
            <v>2967</v>
          </cell>
          <cell r="B1728" t="str">
            <v>ÁCIDO SULFÂMICO</v>
          </cell>
          <cell r="C1728">
            <v>1000</v>
          </cell>
          <cell r="D1728" t="str">
            <v>5 kg</v>
          </cell>
        </row>
        <row r="1729">
          <cell r="A1729">
            <v>2968</v>
          </cell>
          <cell r="B1729" t="str">
            <v>MANEB, ESTABILIZADO, ou PREPARAÇÃO DE MANEB, ESTABILIZADA contra autoaquecimento</v>
          </cell>
          <cell r="C1729" t="str">
            <v>ZERO</v>
          </cell>
          <cell r="D1729" t="str">
            <v>1 kg</v>
          </cell>
        </row>
        <row r="1730">
          <cell r="A1730">
            <v>2969</v>
          </cell>
          <cell r="B1730" t="str">
            <v>MAMONA, GRÃOS, FARINHA, PASTA ou FLOCOS</v>
          </cell>
          <cell r="C1730">
            <v>333</v>
          </cell>
          <cell r="D1730" t="str">
            <v>5 kg</v>
          </cell>
        </row>
        <row r="1731">
          <cell r="A1731">
            <v>2977</v>
          </cell>
          <cell r="B1731" t="str">
            <v>MATERIAL RADIOATIVO, HEXAFLUORETO DE URÂNIO, FÍSSIL</v>
          </cell>
          <cell r="C1731" t="str">
            <v>ZERO</v>
          </cell>
          <cell r="D1731" t="str">
            <v>ZERO</v>
          </cell>
        </row>
        <row r="1732">
          <cell r="A1732">
            <v>2978</v>
          </cell>
          <cell r="B1732" t="str">
            <v>MATERIAL RADIOATIVO, HEXAFLUORETO DE URÂNIO, não-físsil ou físsil exceptivo</v>
          </cell>
          <cell r="C1732" t="str">
            <v>ZERO</v>
          </cell>
          <cell r="D1732" t="str">
            <v>ZERO</v>
          </cell>
        </row>
        <row r="1733">
          <cell r="A1733">
            <v>2983</v>
          </cell>
          <cell r="B1733" t="str">
            <v>MISTURA DE ÓXIDO DE ETILENO E ÓXIDO DE PROPILENO, com até 30% de óxido de etileno</v>
          </cell>
          <cell r="C1733">
            <v>20</v>
          </cell>
          <cell r="D1733" t="str">
            <v>ZERO</v>
          </cell>
        </row>
        <row r="1734">
          <cell r="A1734">
            <v>2984</v>
          </cell>
          <cell r="B1734" t="str">
            <v>PERÓXIDO  DE  HIDROGÊNIO,  SOLUÇÃO  AQUOSA  com  8%  ou  mais  e  menos  de  20%  de  peróxido  de  hidrogênio (estabilizada se necessário)</v>
          </cell>
          <cell r="C1734">
            <v>1000</v>
          </cell>
          <cell r="D1734" t="str">
            <v>5 L</v>
          </cell>
        </row>
        <row r="1735">
          <cell r="A1735">
            <v>2985</v>
          </cell>
          <cell r="B1735" t="str">
            <v>CLOROSSILANOS, INFLAMÁVEIS, CORROSIVOS, N.E.</v>
          </cell>
          <cell r="C1735">
            <v>333</v>
          </cell>
          <cell r="D1735" t="str">
            <v>ZERO</v>
          </cell>
        </row>
        <row r="1736">
          <cell r="A1736">
            <v>2986</v>
          </cell>
          <cell r="B1736" t="str">
            <v>CLOROSSILANOS, CORROSIVOS, INFLAMÁVEIS, N.E.</v>
          </cell>
          <cell r="C1736">
            <v>333</v>
          </cell>
          <cell r="D1736" t="str">
            <v>ZERO</v>
          </cell>
        </row>
        <row r="1737">
          <cell r="A1737">
            <v>2987</v>
          </cell>
          <cell r="B1737" t="str">
            <v>CLOROSSILANOS, CORROSIVOS, N.E.</v>
          </cell>
          <cell r="C1737">
            <v>333</v>
          </cell>
          <cell r="D1737" t="str">
            <v>ZERO</v>
          </cell>
        </row>
        <row r="1738">
          <cell r="A1738">
            <v>2988</v>
          </cell>
          <cell r="B1738" t="str">
            <v>CLOROSSILANOS, QUE REAGEM COM ÁGUA, INFLAMÁVEIS, CORROSIVOS, N.E.</v>
          </cell>
          <cell r="C1738" t="str">
            <v>ZERO</v>
          </cell>
          <cell r="D1738" t="str">
            <v>ZERO</v>
          </cell>
        </row>
        <row r="1739">
          <cell r="A1739">
            <v>2989</v>
          </cell>
          <cell r="B1739" t="str">
            <v>FOSFITO DE CHUMBO, DIBÁSICO</v>
          </cell>
          <cell r="C1739">
            <v>333</v>
          </cell>
          <cell r="D1739" t="str">
            <v>1 kg</v>
          </cell>
        </row>
        <row r="1740">
          <cell r="A1740">
            <v>2990</v>
          </cell>
          <cell r="B1740" t="str">
            <v>DISPOSITIVOS SALVA-VIDAS, AUTOINFLÁVEIS</v>
          </cell>
          <cell r="C1740">
            <v>1000</v>
          </cell>
          <cell r="D1740" t="str">
            <v>ZERO</v>
          </cell>
        </row>
        <row r="1741">
          <cell r="A1741">
            <v>2991</v>
          </cell>
          <cell r="B1741" t="str">
            <v>PESTICIDA À BASE DE CARBAMATOS, LÍQUIDO, TÓXICO, INFLAMÁVEL,  com PFg igual ou superior a 23ºC</v>
          </cell>
          <cell r="C1741">
            <v>20</v>
          </cell>
          <cell r="D1741" t="str">
            <v>100 ml</v>
          </cell>
        </row>
        <row r="1742">
          <cell r="A1742">
            <v>2992</v>
          </cell>
          <cell r="B1742" t="str">
            <v>PESTICIDA À BASE DE CARBAMATOS, LÍQUIDO, TÓXICO</v>
          </cell>
          <cell r="C1742">
            <v>20</v>
          </cell>
          <cell r="D1742" t="str">
            <v>100 ml</v>
          </cell>
        </row>
        <row r="1743">
          <cell r="A1743">
            <v>2993</v>
          </cell>
          <cell r="B1743" t="str">
            <v>PESTICIDA À BASE DE ARSÊNIO, LÍQUIDO, TÓXICO, INFLAMÁVEL,  com PFg igual ou superior a 23ºC</v>
          </cell>
          <cell r="C1743">
            <v>20</v>
          </cell>
          <cell r="D1743" t="str">
            <v>100 ml</v>
          </cell>
        </row>
        <row r="1744">
          <cell r="A1744">
            <v>2994</v>
          </cell>
          <cell r="B1744" t="str">
            <v>PESTICIDA Á BASE DE ARSÊNIO, LÍQUIDO, TÓXICO</v>
          </cell>
          <cell r="C1744">
            <v>20</v>
          </cell>
          <cell r="D1744" t="str">
            <v>100 ml</v>
          </cell>
        </row>
        <row r="1745">
          <cell r="A1745">
            <v>2995</v>
          </cell>
          <cell r="B1745" t="str">
            <v>PESTICIDA À BASE DE ORGANOCLORADOS, LÍQUIDO, TÓXICO, INFLAMÁVEL,  com PFg igual ou superior a 23ºC</v>
          </cell>
          <cell r="C1745">
            <v>20</v>
          </cell>
          <cell r="D1745" t="str">
            <v>100 ml</v>
          </cell>
        </row>
        <row r="1746">
          <cell r="A1746">
            <v>2996</v>
          </cell>
          <cell r="B1746" t="str">
            <v>PESTICIDA À BASE DE ORGANOCLORADOS, LÍQUIDO, TÓXICO</v>
          </cell>
          <cell r="C1746">
            <v>20</v>
          </cell>
          <cell r="D1746" t="str">
            <v>100 ml</v>
          </cell>
        </row>
        <row r="1747">
          <cell r="A1747">
            <v>2997</v>
          </cell>
          <cell r="B1747" t="str">
            <v>PESTICIDA À BASE DE TRIAZINA, LÍQUIDO, TÓXICO, INFLAMÁVEL,  com PFg igual ou superior a 23ºC</v>
          </cell>
          <cell r="C1747">
            <v>20</v>
          </cell>
          <cell r="D1747" t="str">
            <v>100 ml</v>
          </cell>
        </row>
        <row r="1748">
          <cell r="A1748">
            <v>2998</v>
          </cell>
          <cell r="B1748" t="str">
            <v>PESTICIDA À BASE DE TRIAZINA, LÍQUIDO, TÓXICO</v>
          </cell>
          <cell r="C1748">
            <v>20</v>
          </cell>
          <cell r="D1748" t="str">
            <v>100 ml</v>
          </cell>
        </row>
        <row r="1749">
          <cell r="A1749">
            <v>3005</v>
          </cell>
          <cell r="B1749" t="str">
            <v>PESTICIDA À BASE DE TIOCARBAMATOS, LÍQUIDO, TÓXICO, INFLAMÁVEL,  com PFg igual ou superior a 23ºC</v>
          </cell>
          <cell r="C1749">
            <v>20</v>
          </cell>
          <cell r="D1749" t="str">
            <v>100 ml</v>
          </cell>
        </row>
        <row r="1750">
          <cell r="A1750">
            <v>3006</v>
          </cell>
          <cell r="B1750" t="str">
            <v>PESTICIDA À BASE DE TIOCARBAMATOS, LÍQUIDO, TÓXICO</v>
          </cell>
          <cell r="C1750">
            <v>20</v>
          </cell>
          <cell r="D1750" t="str">
            <v>100 ml</v>
          </cell>
        </row>
        <row r="1751">
          <cell r="A1751">
            <v>3009</v>
          </cell>
          <cell r="B1751" t="str">
            <v>PESTICIDA À BASE DE COBRE, LÍQUIDO, TÓXICO, INFLAMÁVEL,  com PFg igual ou superior a 23ºC</v>
          </cell>
          <cell r="C1751">
            <v>20</v>
          </cell>
          <cell r="D1751" t="str">
            <v>100 ml</v>
          </cell>
        </row>
        <row r="1752">
          <cell r="A1752">
            <v>3010</v>
          </cell>
          <cell r="B1752" t="str">
            <v>PESTICIDA À BASE DE COBRE, LÍQUIDO, TÓXICO</v>
          </cell>
          <cell r="C1752">
            <v>20</v>
          </cell>
          <cell r="D1752" t="str">
            <v>100 ml</v>
          </cell>
        </row>
        <row r="1753">
          <cell r="A1753">
            <v>3011</v>
          </cell>
          <cell r="B1753" t="str">
            <v>PESTICIDA À BASE DE MERCÚRIO, LÍQUIDO, TÓXICO, INFLAMÁVEL,  com PFg igual ou superior a 23ºC</v>
          </cell>
          <cell r="C1753">
            <v>20</v>
          </cell>
          <cell r="D1753" t="str">
            <v>100 ml</v>
          </cell>
        </row>
        <row r="1754">
          <cell r="A1754">
            <v>3012</v>
          </cell>
          <cell r="B1754" t="str">
            <v>PESTICIDA À BASE DE MERCÚRIO, LÍQUIDO, TÓXICO</v>
          </cell>
          <cell r="C1754">
            <v>20</v>
          </cell>
          <cell r="D1754" t="str">
            <v>100 ml</v>
          </cell>
        </row>
        <row r="1755">
          <cell r="A1755">
            <v>3013</v>
          </cell>
          <cell r="B1755" t="str">
            <v>PESTICIDA À BASE DE NITROFENOL SUBSTITUÍDO, LÍQUIDO, TÓXICO, INFLAMÁVEL,  com PFg igual ou superior</v>
          </cell>
        </row>
        <row r="1756">
          <cell r="A1756">
            <v>3014</v>
          </cell>
          <cell r="B1756" t="str">
            <v>PESTICIDA À BASE DE NITROFENOL SUBSTITUÍDO, LÍQUIDO, TÓXICO</v>
          </cell>
          <cell r="C1756">
            <v>20</v>
          </cell>
          <cell r="D1756" t="str">
            <v>100 ml</v>
          </cell>
        </row>
        <row r="1757">
          <cell r="A1757">
            <v>3015</v>
          </cell>
          <cell r="B1757" t="str">
            <v>PESTICIDA À BASE DE DIPIRIDÍLIO, LÍQUIDO, TÓXICO, INFLAMÁVEL,  com PFg igual ou superior a 23ºC</v>
          </cell>
          <cell r="C1757">
            <v>20</v>
          </cell>
          <cell r="D1757" t="str">
            <v>100 ml</v>
          </cell>
        </row>
        <row r="1758">
          <cell r="A1758">
            <v>3016</v>
          </cell>
          <cell r="B1758" t="str">
            <v>PESTICIDA À BASE DE DIPIRIDÍLIO, LÍQUIDO, TÓXICO</v>
          </cell>
          <cell r="C1758">
            <v>20</v>
          </cell>
          <cell r="D1758" t="str">
            <v>100 ml</v>
          </cell>
        </row>
        <row r="1759">
          <cell r="A1759">
            <v>3017</v>
          </cell>
          <cell r="B1759" t="str">
            <v>PESTICIDA  À  BASE  DE  ORGANOFOSFORADOS,  LÍQUIDO,  TÓXICO,  INFLAMÁVEL,   com PFg  igual ou  superior  a 23ºC</v>
          </cell>
          <cell r="C1759">
            <v>20</v>
          </cell>
          <cell r="D1759" t="str">
            <v>100 ml</v>
          </cell>
        </row>
        <row r="1760">
          <cell r="A1760">
            <v>3018</v>
          </cell>
          <cell r="B1760" t="str">
            <v>PESTICIDA À BASE DE ORGANOFOSFORADOS, LÍQUIDO, TÓXICO</v>
          </cell>
          <cell r="C1760">
            <v>20</v>
          </cell>
          <cell r="D1760" t="str">
            <v>100 ml</v>
          </cell>
        </row>
        <row r="1761">
          <cell r="A1761">
            <v>3019</v>
          </cell>
          <cell r="B1761" t="str">
            <v>PESTICIDA À BASE DE ORGANOESTÂNICOS, LÍQUIDO, TÓXICO, INFLAMÁVEL,  com PFg igual ou superior a 23ºC</v>
          </cell>
          <cell r="C1761">
            <v>20</v>
          </cell>
          <cell r="D1761" t="str">
            <v>100 ml</v>
          </cell>
        </row>
        <row r="1762">
          <cell r="A1762">
            <v>3020</v>
          </cell>
          <cell r="B1762" t="str">
            <v>PESTICIDA À BASE DE ORGANOESTÂNICOS, LÍQUIDO, TÓXICO,</v>
          </cell>
          <cell r="C1762">
            <v>20</v>
          </cell>
          <cell r="D1762" t="str">
            <v>100 ml</v>
          </cell>
        </row>
        <row r="1763">
          <cell r="A1763">
            <v>3021</v>
          </cell>
          <cell r="B1763" t="str">
            <v>PESTICIDA INFLAMÁVEL, LÍQUIDO, TÓXICO,  N.E., com PFg inferior a 23ºC</v>
          </cell>
          <cell r="C1763">
            <v>20</v>
          </cell>
          <cell r="D1763" t="str">
            <v>1 L</v>
          </cell>
        </row>
        <row r="1764">
          <cell r="A1764">
            <v>3022</v>
          </cell>
          <cell r="B1764" t="str">
            <v>ÓXIDO DE 1,2-BUTILENO, ESTABILIZADO</v>
          </cell>
          <cell r="C1764">
            <v>333</v>
          </cell>
          <cell r="D1764" t="str">
            <v>1 L</v>
          </cell>
        </row>
        <row r="1765">
          <cell r="A1765">
            <v>3023</v>
          </cell>
          <cell r="B1765" t="str">
            <v>2-METIL-2-HEPTANOTIOL</v>
          </cell>
          <cell r="C1765">
            <v>20</v>
          </cell>
          <cell r="D1765" t="str">
            <v>ZERO</v>
          </cell>
        </row>
        <row r="1766">
          <cell r="A1766">
            <v>3024</v>
          </cell>
          <cell r="B1766" t="str">
            <v>PESTICIDA À BASE DE DERIVADOS DA CUMARINA, LÍQUIDO, INFLAMÁVEL, TÓXICO,  com PFg inferior a 23ºC</v>
          </cell>
          <cell r="C1766">
            <v>20</v>
          </cell>
          <cell r="D1766" t="str">
            <v>1 L</v>
          </cell>
        </row>
        <row r="1767">
          <cell r="A1767">
            <v>3025</v>
          </cell>
          <cell r="B1767" t="str">
            <v>PESTICIDA À BASE DE DERIVADOS DA CUMARINA, LÍQUIDO, TÓXICO, INFLAMÁVEL,  com PFg igual ou superior</v>
          </cell>
        </row>
        <row r="1768">
          <cell r="A1768">
            <v>3026</v>
          </cell>
          <cell r="B1768" t="str">
            <v>PESTICIDA À BASE DE DERIVADOS DA CUMARINA, LÍQUIDO, TÓXICO,</v>
          </cell>
          <cell r="C1768">
            <v>20</v>
          </cell>
          <cell r="D1768" t="str">
            <v>100 ml</v>
          </cell>
        </row>
        <row r="1769">
          <cell r="A1769">
            <v>3027</v>
          </cell>
          <cell r="B1769" t="str">
            <v>PESTICIDA À BASE DE DERIVADOS DA CUMARINA, SÓLIDO, TÓXICO</v>
          </cell>
          <cell r="C1769">
            <v>20</v>
          </cell>
          <cell r="D1769" t="str">
            <v>5 kg</v>
          </cell>
        </row>
        <row r="1770">
          <cell r="A1770">
            <v>3028</v>
          </cell>
          <cell r="B1770" t="str">
            <v>BATERIAS elétricas, SECAS, CONTENDO HIDRÓXIDO DE POTÁSSIO SÓLIDO</v>
          </cell>
          <cell r="C1770">
            <v>1000</v>
          </cell>
          <cell r="D1770" t="str">
            <v>2 kg</v>
          </cell>
        </row>
        <row r="1771">
          <cell r="A1771">
            <v>3048</v>
          </cell>
          <cell r="B1771" t="str">
            <v>PESTICIDA À BASE DE FOSFETO DE ALUMÍNIO</v>
          </cell>
          <cell r="C1771">
            <v>20</v>
          </cell>
          <cell r="D1771" t="str">
            <v>ZERO</v>
          </cell>
        </row>
        <row r="1772">
          <cell r="A1772">
            <v>3054</v>
          </cell>
          <cell r="B1772" t="str">
            <v>CICLO-HEXIL MERCAPTANA</v>
          </cell>
          <cell r="C1772">
            <v>1000</v>
          </cell>
          <cell r="D1772" t="str">
            <v>5 L</v>
          </cell>
        </row>
        <row r="1773">
          <cell r="A1773">
            <v>3055</v>
          </cell>
          <cell r="B1773" t="str">
            <v>2-(2-AMINOETÓXI) ETANOL</v>
          </cell>
          <cell r="C1773">
            <v>1000</v>
          </cell>
          <cell r="D1773" t="str">
            <v>5 L</v>
          </cell>
        </row>
        <row r="1774">
          <cell r="A1774">
            <v>3056</v>
          </cell>
          <cell r="B1774" t="str">
            <v>n-HEPTALDEÍDO</v>
          </cell>
          <cell r="C1774">
            <v>1000</v>
          </cell>
          <cell r="D1774" t="str">
            <v>5 L</v>
          </cell>
        </row>
        <row r="1775">
          <cell r="A1775">
            <v>3057</v>
          </cell>
          <cell r="B1775" t="str">
            <v>CLORETO DE TRIFLUORACETILA</v>
          </cell>
          <cell r="C1775">
            <v>20</v>
          </cell>
          <cell r="D1775" t="str">
            <v>ZERO</v>
          </cell>
        </row>
        <row r="1776">
          <cell r="A1776">
            <v>3064</v>
          </cell>
          <cell r="B1776" t="str">
            <v>NITROGLICERINA, EM SOLUÇÃO ALCOÓLICA, com mais de 1% e até 5% de nitroglicerina</v>
          </cell>
          <cell r="C1776">
            <v>333</v>
          </cell>
          <cell r="D1776" t="str">
            <v>ZERO</v>
          </cell>
        </row>
        <row r="1777">
          <cell r="A1777">
            <v>3065</v>
          </cell>
          <cell r="B1777" t="str">
            <v>BEBIDAS ALCÓOLICAS, com mais de 70% de álcool, em volume</v>
          </cell>
          <cell r="C1777">
            <v>333</v>
          </cell>
          <cell r="D1777" t="str">
            <v>5 L</v>
          </cell>
        </row>
        <row r="1778">
          <cell r="A1778">
            <v>3065</v>
          </cell>
          <cell r="B1778" t="str">
            <v>BEBIDAS ÁLCÓOLICAS, com mais de 24% e até 70% de álcool, em volume</v>
          </cell>
          <cell r="C1778">
            <v>1000</v>
          </cell>
          <cell r="D1778" t="str">
            <v>5 L</v>
          </cell>
        </row>
        <row r="1779">
          <cell r="A1779">
            <v>3066</v>
          </cell>
          <cell r="B1779" t="str">
            <v>TINTA (incluindo tintas, lascas, esmaltes, tinturas, goma-lacas,vernizes, polidores, enchimentos líquidos e bases líquidas para lacas) ou MATERIAL RELACIONADO COM TINTAS (incluindo diluentes ou redutores para tintas)</v>
          </cell>
          <cell r="C1779">
            <v>333</v>
          </cell>
          <cell r="D1779" t="str">
            <v>1 L</v>
          </cell>
        </row>
        <row r="1780">
          <cell r="A1780">
            <v>3070</v>
          </cell>
          <cell r="B1780" t="str">
            <v>MISTURA DE ÓXIDO DE ETILENO E DICLORODIFLUORMETANO, com até 12,5% de óxido de etileno</v>
          </cell>
          <cell r="C1780">
            <v>1000</v>
          </cell>
          <cell r="D1780" t="str">
            <v>120 ml</v>
          </cell>
        </row>
        <row r="1781">
          <cell r="A1781">
            <v>3071</v>
          </cell>
          <cell r="B1781" t="str">
            <v>MERCAPTANAS,   TÓXICAS,   INFLAMÁVEIS,   LÍQUIDAS,   N.E.,   ou   MISTURA   DE   MERCAPTANA,   TÓXICA, INFLAMÁVEL, LÍQUIDA, N.E.</v>
          </cell>
          <cell r="C1781">
            <v>333</v>
          </cell>
          <cell r="D1781" t="str">
            <v>100 ml</v>
          </cell>
        </row>
        <row r="1782">
          <cell r="A1782">
            <v>3072</v>
          </cell>
          <cell r="B1782" t="str">
            <v>DISPOSITIVOS SALVA-VIDAS, NÃO-AUTOINFLÁVEIS, contendo produtos perigosos como equipamento</v>
          </cell>
          <cell r="C1782">
            <v>1000</v>
          </cell>
          <cell r="D1782" t="str">
            <v>ZERO</v>
          </cell>
        </row>
        <row r="1783">
          <cell r="A1783">
            <v>3073</v>
          </cell>
          <cell r="B1783" t="str">
            <v>VINILPIRIDINAS, ESTABILIZADAS</v>
          </cell>
          <cell r="C1783">
            <v>333</v>
          </cell>
          <cell r="D1783" t="str">
            <v>100 ml</v>
          </cell>
        </row>
        <row r="1784">
          <cell r="A1784">
            <v>3077</v>
          </cell>
          <cell r="B1784" t="str">
            <v>SUBSTÂNCIA QUE APRESENTA RISCO PARA O MEIO AMBIENTE, SÓLIDA, N.E.</v>
          </cell>
          <cell r="C1784">
            <v>1000</v>
          </cell>
          <cell r="D1784" t="str">
            <v>5 kg</v>
          </cell>
        </row>
        <row r="1785">
          <cell r="A1785">
            <v>3078</v>
          </cell>
          <cell r="B1785" t="str">
            <v>CÉRIO, aparas de torneamento ou pó de granulação grossa</v>
          </cell>
          <cell r="C1785">
            <v>333</v>
          </cell>
          <cell r="D1785" t="str">
            <v>500 g</v>
          </cell>
        </row>
        <row r="1786">
          <cell r="A1786">
            <v>3079</v>
          </cell>
          <cell r="B1786" t="str">
            <v>METACRILONITRILA, ESTABILIZADO</v>
          </cell>
          <cell r="C1786">
            <v>20</v>
          </cell>
          <cell r="D1786" t="str">
            <v>ZERO</v>
          </cell>
        </row>
        <row r="1787">
          <cell r="A1787">
            <v>3080</v>
          </cell>
          <cell r="B1787" t="str">
            <v>ISOCIANATOS, TÓXICOS, INFLAMÁVEIS, N.E. ou SOLUÇÃO DE ISOCIANATOS, TÓXICA, INFLAMÁVEL, N.E.</v>
          </cell>
          <cell r="C1787">
            <v>333</v>
          </cell>
          <cell r="D1787" t="str">
            <v>100 ml</v>
          </cell>
        </row>
        <row r="1788">
          <cell r="A1788">
            <v>3082</v>
          </cell>
          <cell r="B1788" t="str">
            <v>SUBSTÂNCIA QUE APRESENTA RISCO PARA O MEIO AMBIENTE, LÍQUIDA, N.E.</v>
          </cell>
          <cell r="C1788">
            <v>1000</v>
          </cell>
          <cell r="D1788" t="str">
            <v>5 L</v>
          </cell>
        </row>
        <row r="1789">
          <cell r="A1789">
            <v>3083</v>
          </cell>
          <cell r="B1789" t="str">
            <v>FLUORETO DE PERCLORILA</v>
          </cell>
          <cell r="C1789">
            <v>20</v>
          </cell>
          <cell r="D1789" t="str">
            <v>ZERO</v>
          </cell>
        </row>
        <row r="1790">
          <cell r="A1790">
            <v>3084</v>
          </cell>
          <cell r="B1790" t="str">
            <v>SÓLIDO CORROSIVO, OXIDANTE, N.E.</v>
          </cell>
          <cell r="C1790">
            <v>20</v>
          </cell>
          <cell r="D1790" t="str">
            <v>1 kg</v>
          </cell>
        </row>
        <row r="1791">
          <cell r="A1791">
            <v>3085</v>
          </cell>
          <cell r="B1791" t="str">
            <v>SÓLIDO OXIDANTE, CORROSIVO, N.E.</v>
          </cell>
          <cell r="C1791">
            <v>20</v>
          </cell>
          <cell r="D1791" t="str">
            <v>1 kg</v>
          </cell>
        </row>
        <row r="1792">
          <cell r="A1792">
            <v>3086</v>
          </cell>
          <cell r="B1792" t="str">
            <v>SÓLIDO TÓXICO, OXIDANTE, N.E.</v>
          </cell>
          <cell r="C1792">
            <v>20</v>
          </cell>
          <cell r="D1792" t="str">
            <v>500 g</v>
          </cell>
        </row>
        <row r="1793">
          <cell r="A1793">
            <v>3087</v>
          </cell>
          <cell r="B1793" t="str">
            <v>SÓLIDO OXIDANTE, TÓXICO, N.E.</v>
          </cell>
          <cell r="C1793">
            <v>20</v>
          </cell>
          <cell r="D1793" t="str">
            <v>1 kg</v>
          </cell>
        </row>
        <row r="1794">
          <cell r="A1794">
            <v>3088</v>
          </cell>
          <cell r="B1794" t="str">
            <v>SÓLIDO SUJEITO A AUTOAQUECIMENTO, ORGÂNICO, N.E.</v>
          </cell>
          <cell r="C1794">
            <v>333</v>
          </cell>
          <cell r="D1794" t="str">
            <v>ZERO</v>
          </cell>
        </row>
        <row r="1795">
          <cell r="A1795">
            <v>3089</v>
          </cell>
          <cell r="B1795" t="str">
            <v>METAL EM PÓ, INFLAMÁVEL, N.E.</v>
          </cell>
          <cell r="C1795">
            <v>333</v>
          </cell>
          <cell r="D1795" t="str">
            <v>1 kg</v>
          </cell>
        </row>
        <row r="1796">
          <cell r="A1796">
            <v>3090</v>
          </cell>
          <cell r="B1796" t="str">
            <v>BATERIAS DE LÍTIO METÁLICO (incluindo baterias de liga de lítio)</v>
          </cell>
          <cell r="C1796">
            <v>333</v>
          </cell>
          <cell r="D1796" t="str">
            <v>ZERO</v>
          </cell>
        </row>
        <row r="1797">
          <cell r="A1797">
            <v>3091</v>
          </cell>
          <cell r="B1797" t="str">
            <v>BATERIAS DE LÍTIO METÁLICO, CONTIDAS EM EQUIPAMENTOS, ou BATERIAS DE LÍTIO METÁLICO</v>
          </cell>
        </row>
        <row r="1798">
          <cell r="A1798">
            <v>3092</v>
          </cell>
          <cell r="B1798" t="str">
            <v>1-METÓXI-2-PROPANOL</v>
          </cell>
          <cell r="C1798">
            <v>1000</v>
          </cell>
          <cell r="D1798" t="str">
            <v>5 L</v>
          </cell>
        </row>
        <row r="1799">
          <cell r="A1799">
            <v>3093</v>
          </cell>
          <cell r="B1799" t="str">
            <v>LÍQUIDO CORROSIVO, OXIDANTE, N.E.</v>
          </cell>
          <cell r="C1799">
            <v>20</v>
          </cell>
          <cell r="D1799" t="str">
            <v>1 L</v>
          </cell>
        </row>
        <row r="1800">
          <cell r="A1800">
            <v>3094</v>
          </cell>
          <cell r="B1800" t="str">
            <v>LÍQUIDO CORROSIVO, QUE REAGE COM ÁGUA, N.E.</v>
          </cell>
          <cell r="C1800">
            <v>20</v>
          </cell>
          <cell r="D1800" t="str">
            <v>1 L</v>
          </cell>
        </row>
        <row r="1801">
          <cell r="A1801">
            <v>3095</v>
          </cell>
          <cell r="B1801" t="str">
            <v>SÓLIDO CORROSIVO, SUJEITO A AUTOAQUECIMENTO, N.E.</v>
          </cell>
          <cell r="C1801">
            <v>20</v>
          </cell>
          <cell r="D1801" t="str">
            <v>1 kg</v>
          </cell>
        </row>
        <row r="1802">
          <cell r="A1802">
            <v>3096</v>
          </cell>
          <cell r="B1802" t="str">
            <v>SÓLIDO CORROSIVO, QUE REAGE COM ÁGUA, N.E.</v>
          </cell>
          <cell r="C1802">
            <v>20</v>
          </cell>
          <cell r="D1802" t="str">
            <v>1 kg</v>
          </cell>
        </row>
        <row r="1803">
          <cell r="A1803">
            <v>3097</v>
          </cell>
          <cell r="B1803" t="str">
            <v>SÓLIDO INFLAMÁVEL, OXIDANTE, N.E.</v>
          </cell>
          <cell r="C1803" t="str">
            <v>ZERO</v>
          </cell>
          <cell r="D1803" t="str">
            <v>1 kg</v>
          </cell>
        </row>
        <row r="1804">
          <cell r="A1804">
            <v>3098</v>
          </cell>
          <cell r="B1804" t="str">
            <v>LÍQUIDO OXIDANTE, CORROSIVO, N.E.</v>
          </cell>
          <cell r="C1804">
            <v>20</v>
          </cell>
          <cell r="D1804" t="str">
            <v>1 L</v>
          </cell>
        </row>
        <row r="1805">
          <cell r="A1805">
            <v>3099</v>
          </cell>
          <cell r="B1805" t="str">
            <v>LÍQUIDO OXIDANTE, TÓXICO, N.E.</v>
          </cell>
          <cell r="C1805">
            <v>20</v>
          </cell>
          <cell r="D1805" t="str">
            <v>1 L</v>
          </cell>
        </row>
        <row r="1806">
          <cell r="A1806">
            <v>3100</v>
          </cell>
          <cell r="B1806" t="str">
            <v>SÓLIDO OXIDANTE, SUJEITO A AUTOAQUECIMENTO, N.E.</v>
          </cell>
          <cell r="C1806" t="str">
            <v>ZERO</v>
          </cell>
          <cell r="D1806" t="str">
            <v>ZERO</v>
          </cell>
        </row>
        <row r="1807">
          <cell r="A1807">
            <v>3101</v>
          </cell>
          <cell r="B1807" t="str">
            <v>PERÓXIDO ORGÂNICO, TIPO B, LÍQUIDO</v>
          </cell>
          <cell r="C1807">
            <v>20</v>
          </cell>
          <cell r="D1807" t="str">
            <v>25 ml</v>
          </cell>
        </row>
        <row r="1808">
          <cell r="A1808">
            <v>3102</v>
          </cell>
          <cell r="B1808" t="str">
            <v>PERÓXIDO ORGÂNICO, TIPO B, SÓLIDO</v>
          </cell>
          <cell r="C1808">
            <v>20</v>
          </cell>
          <cell r="D1808" t="str">
            <v>100 g</v>
          </cell>
        </row>
        <row r="1809">
          <cell r="A1809">
            <v>3103</v>
          </cell>
          <cell r="B1809" t="str">
            <v>PERÓXIDO ORGÂNICO, TIPO C, LÍQUIDO</v>
          </cell>
          <cell r="C1809">
            <v>20</v>
          </cell>
          <cell r="D1809" t="str">
            <v>25 ml</v>
          </cell>
        </row>
        <row r="1810">
          <cell r="A1810">
            <v>3104</v>
          </cell>
          <cell r="B1810" t="str">
            <v>PERÓXIDO ORGÂNICO, TIPO C, SÓLIDO</v>
          </cell>
          <cell r="C1810">
            <v>20</v>
          </cell>
          <cell r="D1810" t="str">
            <v>100 g</v>
          </cell>
        </row>
        <row r="1811">
          <cell r="A1811">
            <v>3105</v>
          </cell>
          <cell r="B1811" t="str">
            <v>PERÓXIDO ORGÂNICO, TIPO D, LÍQUIDO</v>
          </cell>
          <cell r="C1811">
            <v>333</v>
          </cell>
          <cell r="D1811" t="str">
            <v>125 ml</v>
          </cell>
        </row>
        <row r="1812">
          <cell r="A1812">
            <v>3106</v>
          </cell>
          <cell r="B1812" t="str">
            <v>PERÓXIDO ORGÂNICO, TIPO D, SÓLIDO</v>
          </cell>
          <cell r="C1812">
            <v>333</v>
          </cell>
          <cell r="D1812" t="str">
            <v>500 g</v>
          </cell>
        </row>
        <row r="1813">
          <cell r="A1813">
            <v>3107</v>
          </cell>
          <cell r="B1813" t="str">
            <v>PERÓXIDO ORGÂNICO, TIPO E, LÍQUIDO</v>
          </cell>
          <cell r="C1813">
            <v>333</v>
          </cell>
          <cell r="D1813" t="str">
            <v>125 ml</v>
          </cell>
        </row>
        <row r="1814">
          <cell r="A1814">
            <v>3108</v>
          </cell>
          <cell r="B1814" t="str">
            <v>PERÓXIDO ORGÂNICO, TIPO E, SÓLIDO</v>
          </cell>
          <cell r="C1814">
            <v>333</v>
          </cell>
          <cell r="D1814" t="str">
            <v>500 g</v>
          </cell>
        </row>
        <row r="1815">
          <cell r="A1815">
            <v>3109</v>
          </cell>
          <cell r="B1815" t="str">
            <v>PERÓXIDO ORGÂNICO, TIPO F, LÍQUIDO</v>
          </cell>
          <cell r="C1815">
            <v>333</v>
          </cell>
          <cell r="D1815" t="str">
            <v>125 ml</v>
          </cell>
        </row>
        <row r="1816">
          <cell r="A1816">
            <v>3110</v>
          </cell>
          <cell r="B1816" t="str">
            <v>PERÓXIDO ORGÂNICO, TIPO F, SÓLIDO</v>
          </cell>
          <cell r="C1816">
            <v>333</v>
          </cell>
          <cell r="D1816" t="str">
            <v>500 g</v>
          </cell>
        </row>
        <row r="1817">
          <cell r="A1817">
            <v>3111</v>
          </cell>
          <cell r="B1817" t="str">
            <v>PERÓXIDO ORGÂNICO, TIPO B, LÍQUIDO, TEMPERATURA CONTROLADA</v>
          </cell>
          <cell r="C1817">
            <v>20</v>
          </cell>
          <cell r="D1817" t="str">
            <v>ZERO</v>
          </cell>
        </row>
        <row r="1818">
          <cell r="A1818">
            <v>3112</v>
          </cell>
          <cell r="B1818" t="str">
            <v>PERÓXIDO ORGÂNICO, TIPO B, SÓLIDO, TEMPERATURA CONTROLADA</v>
          </cell>
          <cell r="C1818">
            <v>20</v>
          </cell>
          <cell r="D1818" t="str">
            <v>ZERO</v>
          </cell>
        </row>
        <row r="1819">
          <cell r="A1819">
            <v>3113</v>
          </cell>
          <cell r="B1819" t="str">
            <v>PERÓXIDO ORGÂNICO, TIPO C, LÍQUIDO, TEMPERATURA CONTROLADA</v>
          </cell>
          <cell r="C1819">
            <v>20</v>
          </cell>
          <cell r="D1819" t="str">
            <v>ZERO</v>
          </cell>
        </row>
        <row r="1820">
          <cell r="A1820">
            <v>3114</v>
          </cell>
          <cell r="B1820" t="str">
            <v>PERÓXIDO ORGÂNICO, TIPO C, SÓLIDO, TEMPERATURA CONTROLADA</v>
          </cell>
          <cell r="C1820">
            <v>20</v>
          </cell>
          <cell r="D1820" t="str">
            <v>ZERO</v>
          </cell>
        </row>
        <row r="1821">
          <cell r="A1821">
            <v>3115</v>
          </cell>
          <cell r="B1821" t="str">
            <v>PERÓXIDO ORGÂNICO, TIPO D, LÍQUIDO, TEMPERATURA CONTROLADA</v>
          </cell>
          <cell r="C1821">
            <v>20</v>
          </cell>
          <cell r="D1821" t="str">
            <v>ZERO</v>
          </cell>
        </row>
        <row r="1822">
          <cell r="A1822">
            <v>3116</v>
          </cell>
          <cell r="B1822" t="str">
            <v>PERÓXIDO ORGÂNICO, TIPO D, SÓLIDO, TEMPERATURA CONTROLADA</v>
          </cell>
          <cell r="C1822">
            <v>20</v>
          </cell>
          <cell r="D1822" t="str">
            <v>ZERO</v>
          </cell>
        </row>
        <row r="1823">
          <cell r="A1823">
            <v>3117</v>
          </cell>
          <cell r="B1823" t="str">
            <v>PERÓXIDO ORGÂNICO, TIPO E, LÍQUIDO, TEMPERATURA CONTROLADA</v>
          </cell>
          <cell r="C1823">
            <v>20</v>
          </cell>
          <cell r="D1823" t="str">
            <v>ZERO</v>
          </cell>
        </row>
        <row r="1824">
          <cell r="A1824">
            <v>3118</v>
          </cell>
          <cell r="B1824" t="str">
            <v>PERÓXIDO ORGÂNICO, TIPO E, SÓLIDO, TEMPERATURA CONTROLADA</v>
          </cell>
          <cell r="C1824">
            <v>20</v>
          </cell>
          <cell r="D1824" t="str">
            <v>ZERO</v>
          </cell>
        </row>
        <row r="1825">
          <cell r="A1825">
            <v>3119</v>
          </cell>
          <cell r="B1825" t="str">
            <v>PERÓXIDO ORGÂNICO, TIPO F, LÍQUIDO, TEMPERATURA CONTROLADA</v>
          </cell>
          <cell r="C1825">
            <v>20</v>
          </cell>
          <cell r="D1825" t="str">
            <v>ZERO</v>
          </cell>
        </row>
        <row r="1826">
          <cell r="A1826">
            <v>3120</v>
          </cell>
          <cell r="B1826" t="str">
            <v>PERÓXIDO ORGÂNICO, TIPO F, SÓLIDO, TEMPERATURA CONTROLADA</v>
          </cell>
          <cell r="C1826">
            <v>20</v>
          </cell>
          <cell r="D1826" t="str">
            <v>ZERO</v>
          </cell>
        </row>
        <row r="1827">
          <cell r="A1827">
            <v>3121</v>
          </cell>
          <cell r="B1827" t="str">
            <v>SÓLIDO OXIDANTE, QUE REAGE COM ÁGUA, N.E.</v>
          </cell>
          <cell r="C1827" t="str">
            <v>ZERO</v>
          </cell>
          <cell r="D1827" t="str">
            <v>1 kg</v>
          </cell>
        </row>
        <row r="1828">
          <cell r="A1828">
            <v>3122</v>
          </cell>
          <cell r="B1828" t="str">
            <v>LÍQUIDO TÓXICO, OXIDANTE, N.E.</v>
          </cell>
          <cell r="C1828">
            <v>20</v>
          </cell>
          <cell r="D1828" t="str">
            <v>100 ml</v>
          </cell>
        </row>
        <row r="1829">
          <cell r="A1829">
            <v>3123</v>
          </cell>
          <cell r="B1829" t="str">
            <v>LÍQUIDO TÓXICO, QUE REAGE COM ÁGUA, N.E.</v>
          </cell>
          <cell r="C1829">
            <v>20</v>
          </cell>
          <cell r="D1829" t="str">
            <v>100 ml</v>
          </cell>
        </row>
        <row r="1830">
          <cell r="A1830">
            <v>3124</v>
          </cell>
          <cell r="B1830" t="str">
            <v>SÓLIDO TÓXICO, SUJEITO A AUTOAQUECIMENTO, N.E.</v>
          </cell>
          <cell r="C1830">
            <v>20</v>
          </cell>
          <cell r="D1830" t="str">
            <v>ZERO</v>
          </cell>
        </row>
        <row r="1831">
          <cell r="A1831">
            <v>3125</v>
          </cell>
          <cell r="B1831" t="str">
            <v>SÓLIDO TÓXICO, QUE REAGE COM ÁGUA, N.E.</v>
          </cell>
          <cell r="C1831">
            <v>20</v>
          </cell>
          <cell r="D1831" t="str">
            <v>500 g</v>
          </cell>
        </row>
        <row r="1832">
          <cell r="A1832">
            <v>3126</v>
          </cell>
          <cell r="B1832" t="str">
            <v>SÓLIDO SUJEITO A AUTOAQUECIMENTO, CORROSIVO, ORGÂNICO, N.E.</v>
          </cell>
          <cell r="C1832">
            <v>333</v>
          </cell>
          <cell r="D1832" t="str">
            <v>ZERO</v>
          </cell>
        </row>
        <row r="1833">
          <cell r="A1833">
            <v>3127</v>
          </cell>
          <cell r="B1833" t="str">
            <v>SÓLIDO SUJEITO A AUTOAQUECIMENTO, OXIDANTE, N.E.</v>
          </cell>
          <cell r="C1833" t="str">
            <v>ZERO</v>
          </cell>
          <cell r="D1833" t="str">
            <v>ZERO</v>
          </cell>
        </row>
        <row r="1834">
          <cell r="A1834">
            <v>3128</v>
          </cell>
          <cell r="B1834" t="str">
            <v>SÓLIDO SUJEITO A AUTOAQUECIMENTO, TÓXICO, ORGÂNICO, N.E.</v>
          </cell>
          <cell r="C1834">
            <v>333</v>
          </cell>
          <cell r="D1834" t="str">
            <v>ZERO</v>
          </cell>
        </row>
        <row r="1835">
          <cell r="A1835">
            <v>3129</v>
          </cell>
          <cell r="B1835" t="str">
            <v>LÍQUIDO QUE REAGE COM ÁGUA, CORROSIVO, N.E.</v>
          </cell>
          <cell r="C1835" t="str">
            <v>ZERO</v>
          </cell>
          <cell r="D1835" t="str">
            <v>1L</v>
          </cell>
        </row>
        <row r="1836">
          <cell r="A1836">
            <v>3130</v>
          </cell>
          <cell r="B1836" t="str">
            <v>LÍQUIDO QUE REAGE COM ÁGUA, TÓXICO, N.E.</v>
          </cell>
          <cell r="C1836" t="str">
            <v>ZERO</v>
          </cell>
          <cell r="D1836" t="str">
            <v>1 L</v>
          </cell>
        </row>
        <row r="1837">
          <cell r="A1837">
            <v>3131</v>
          </cell>
          <cell r="B1837" t="str">
            <v>SÓLIDO QUE REAGE COM ÁGUA, CORROSIVO, N.E.</v>
          </cell>
          <cell r="C1837" t="str">
            <v>ZERO</v>
          </cell>
          <cell r="D1837" t="str">
            <v>1kg</v>
          </cell>
        </row>
        <row r="1838">
          <cell r="A1838">
            <v>3132</v>
          </cell>
          <cell r="B1838" t="str">
            <v>SÓLIDO QUE REAGE COM ÁGUA, INFLAMÁVEL, N.E.</v>
          </cell>
          <cell r="C1838" t="str">
            <v>ZERO</v>
          </cell>
          <cell r="D1838" t="str">
            <v>1 kg</v>
          </cell>
        </row>
        <row r="1839">
          <cell r="A1839">
            <v>3133</v>
          </cell>
          <cell r="B1839" t="str">
            <v>SÓLIDO QUE REAGE COM ÁGUA, OXIDANTE, N.E.</v>
          </cell>
          <cell r="C1839" t="str">
            <v>ZERO</v>
          </cell>
          <cell r="D1839" t="str">
            <v>1 kg</v>
          </cell>
        </row>
        <row r="1840">
          <cell r="A1840">
            <v>3134</v>
          </cell>
          <cell r="B1840" t="str">
            <v>SÓLIDO QUE REAGE COM ÁGUA, TÓXICO, N.E.</v>
          </cell>
          <cell r="C1840" t="str">
            <v>ZERO</v>
          </cell>
          <cell r="D1840" t="str">
            <v>1 kg</v>
          </cell>
        </row>
        <row r="1841">
          <cell r="A1841">
            <v>3135</v>
          </cell>
          <cell r="B1841" t="str">
            <v>SÓLIDO QUE REAGE COM ÁGUA, SUJEITO A AUTOAQUECIMENTO, N.E.</v>
          </cell>
          <cell r="C1841" t="str">
            <v>ZERO</v>
          </cell>
          <cell r="D1841" t="str">
            <v>ZERO</v>
          </cell>
        </row>
        <row r="1842">
          <cell r="A1842">
            <v>3136</v>
          </cell>
          <cell r="B1842" t="str">
            <v>TRIFLUORMETANO, LÍQUIDO REFRIGERADO</v>
          </cell>
          <cell r="C1842">
            <v>1000</v>
          </cell>
          <cell r="D1842" t="str">
            <v>120 ml</v>
          </cell>
        </row>
        <row r="1843">
          <cell r="A1843">
            <v>3137</v>
          </cell>
          <cell r="B1843" t="str">
            <v>SÓLIDO OXIDANTE, INFLAMÁVEL, N.E.</v>
          </cell>
          <cell r="C1843">
            <v>20</v>
          </cell>
          <cell r="D1843" t="str">
            <v>ZERO</v>
          </cell>
        </row>
        <row r="1844">
          <cell r="A1844">
            <v>3138</v>
          </cell>
          <cell r="B1844" t="str">
            <v>MISTURA  DE  ETILENO,  ACETILENO  E  PROPILENO,  LÍQUIDA  REFRIGERADA  contendo,  no  mínimo  71,5%  de</v>
          </cell>
        </row>
        <row r="1845">
          <cell r="A1845">
            <v>3139</v>
          </cell>
          <cell r="B1845" t="str">
            <v>LÍQUIDO OXIDANTE, N.E.</v>
          </cell>
          <cell r="C1845">
            <v>20</v>
          </cell>
          <cell r="D1845" t="str">
            <v>1 L</v>
          </cell>
        </row>
        <row r="1846">
          <cell r="A1846">
            <v>3140</v>
          </cell>
          <cell r="B1846" t="str">
            <v>ALCALÓIDES, LÍQUIDOS, N.E. ou SAIS DE ALCALÓIDES, LÍQUIDOS, N.E.</v>
          </cell>
          <cell r="C1846">
            <v>20</v>
          </cell>
          <cell r="D1846" t="str">
            <v>100 ml</v>
          </cell>
        </row>
        <row r="1847">
          <cell r="A1847">
            <v>3141</v>
          </cell>
          <cell r="B1847" t="str">
            <v>ANTIMÔNIO, COMPOSTO INORGÂNICO, LÍQUIDO, N.E.</v>
          </cell>
          <cell r="C1847">
            <v>333</v>
          </cell>
          <cell r="D1847" t="str">
            <v>5 L</v>
          </cell>
        </row>
        <row r="1848">
          <cell r="A1848">
            <v>3142</v>
          </cell>
          <cell r="B1848" t="str">
            <v>DESINFETANTE, TÓXICO, LÍQUIDO, N.E.</v>
          </cell>
          <cell r="C1848">
            <v>20</v>
          </cell>
          <cell r="D1848" t="str">
            <v>100 ml</v>
          </cell>
        </row>
        <row r="1849">
          <cell r="A1849">
            <v>3143</v>
          </cell>
          <cell r="B1849" t="str">
            <v>CORANTE, TÓXICO, SÓLIDO, N.E., ou INTERMEDIÁRIO PARA CORANTES, TÓXICO, SÓLIDO, N.E.</v>
          </cell>
          <cell r="C1849">
            <v>20</v>
          </cell>
          <cell r="D1849" t="str">
            <v>5 kg</v>
          </cell>
        </row>
        <row r="1850">
          <cell r="A1850">
            <v>3144</v>
          </cell>
          <cell r="B1850" t="str">
            <v>NICOTINA COMPOSTO, LÍQUIDO, N.E. ou NICOTINA PREPARAÇÃO, LÍQUIDA, N.E.</v>
          </cell>
          <cell r="C1850">
            <v>20</v>
          </cell>
          <cell r="D1850" t="str">
            <v>100 ml</v>
          </cell>
        </row>
        <row r="1851">
          <cell r="A1851">
            <v>3145</v>
          </cell>
          <cell r="B1851" t="str">
            <v>ALQUILFENÓIS, LÍQUIDOS, N.E. (incluindo os homólogos C2-C12)</v>
          </cell>
          <cell r="C1851">
            <v>20</v>
          </cell>
          <cell r="D1851" t="str">
            <v>1 L</v>
          </cell>
        </row>
        <row r="1852">
          <cell r="A1852">
            <v>3146</v>
          </cell>
          <cell r="B1852" t="str">
            <v>ESTANHO COMPOSTO ORGÂNICO, SÓLIDO, N.E.</v>
          </cell>
          <cell r="C1852">
            <v>20</v>
          </cell>
          <cell r="D1852" t="str">
            <v>5 kg</v>
          </cell>
        </row>
        <row r="1853">
          <cell r="A1853">
            <v>3147</v>
          </cell>
          <cell r="B1853" t="str">
            <v>CORANTE, CORROSIVO, SÓLIDO, N.E., ou INTERMEDIÁRIO PARA CORANTES, CORROSIVO, SÓLIDO, N.E.</v>
          </cell>
          <cell r="C1853">
            <v>20</v>
          </cell>
          <cell r="D1853" t="str">
            <v>1 kg</v>
          </cell>
        </row>
        <row r="1854">
          <cell r="A1854">
            <v>3148</v>
          </cell>
          <cell r="B1854" t="str">
            <v>LÍQUIDO QUE REAGE COM ÁGUA, N.E.</v>
          </cell>
          <cell r="C1854" t="str">
            <v>ZERO</v>
          </cell>
          <cell r="D1854" t="str">
            <v>1 L</v>
          </cell>
        </row>
        <row r="1855">
          <cell r="A1855">
            <v>3149</v>
          </cell>
          <cell r="B1855" t="str">
            <v>MISTURA DE PERÓXIDO DE HIDROGÊNIO E ÁCIDO PERACÉTICO, com ácido(s), água e, no máximo, 5%  de ácido peracético, ESTABILIZADA</v>
          </cell>
          <cell r="C1855">
            <v>333</v>
          </cell>
          <cell r="D1855" t="str">
            <v>1 L</v>
          </cell>
        </row>
        <row r="1856">
          <cell r="A1856">
            <v>3150</v>
          </cell>
          <cell r="B1856" t="str">
            <v>DISPOSITIVOS,     PEQUENOS,     ACIONADOS     POR     HIDROCARBONETOS     GASOSOS,     ou     RECARGA     DE HIDROCARBONETOS GASOSOS PARA PEQUENOS DISPOSITIVOS, com difusor</v>
          </cell>
          <cell r="C1856">
            <v>333</v>
          </cell>
          <cell r="D1856" t="str">
            <v>ZERO</v>
          </cell>
        </row>
        <row r="1857">
          <cell r="A1857">
            <v>3151</v>
          </cell>
          <cell r="B1857" t="str">
            <v>BIFENILAS POLIHALOGENADAS, LÍQUIDAS ou MONOMETILDIFENILAS-METANOS HALOGENADAS, LÍQUIDAS</v>
          </cell>
        </row>
        <row r="1858">
          <cell r="A1858">
            <v>3152</v>
          </cell>
          <cell r="B1858" t="str">
            <v>BIFENILAS  POLIHALOGENADAS,  SÓLIDAS  ou  MONOMETILDIFENILAS-METANOS  HALOGENADAS,  SÓLIDAS</v>
          </cell>
        </row>
        <row r="1859">
          <cell r="A1859">
            <v>3153</v>
          </cell>
          <cell r="B1859" t="str">
            <v>PERFLUOR (ÉTER METILVINÍLICO)</v>
          </cell>
          <cell r="C1859">
            <v>333</v>
          </cell>
          <cell r="D1859" t="str">
            <v>ZERO</v>
          </cell>
        </row>
        <row r="1860">
          <cell r="A1860">
            <v>3154</v>
          </cell>
          <cell r="B1860" t="str">
            <v>PERFLUOR (ÉTER ETILVINÍLICO)</v>
          </cell>
          <cell r="C1860">
            <v>333</v>
          </cell>
          <cell r="D1860" t="str">
            <v>ZERO</v>
          </cell>
        </row>
        <row r="1861">
          <cell r="A1861">
            <v>3155</v>
          </cell>
          <cell r="B1861" t="str">
            <v>PENTACLOROFENOL</v>
          </cell>
          <cell r="C1861">
            <v>333</v>
          </cell>
          <cell r="D1861" t="str">
            <v>500 g</v>
          </cell>
        </row>
        <row r="1862">
          <cell r="A1862">
            <v>3156</v>
          </cell>
          <cell r="B1862" t="str">
            <v>GÁS OXIDANTE, COMPRIMIDO, N.E.</v>
          </cell>
          <cell r="C1862">
            <v>1000</v>
          </cell>
          <cell r="D1862" t="str">
            <v>ZERO</v>
          </cell>
        </row>
        <row r="1863">
          <cell r="A1863">
            <v>3157</v>
          </cell>
          <cell r="B1863" t="str">
            <v>GÁS OXIDANTE, LIQUEFEITO, N.E.</v>
          </cell>
          <cell r="C1863">
            <v>1000</v>
          </cell>
          <cell r="D1863" t="str">
            <v>ZERO</v>
          </cell>
        </row>
        <row r="1864">
          <cell r="A1864">
            <v>3158</v>
          </cell>
          <cell r="B1864" t="str">
            <v>GÁS LÍQUIDO REFRIGERADO, N.E.</v>
          </cell>
          <cell r="C1864">
            <v>1000</v>
          </cell>
          <cell r="D1864" t="str">
            <v>120 ml</v>
          </cell>
        </row>
        <row r="1865">
          <cell r="A1865">
            <v>3159</v>
          </cell>
          <cell r="B1865" t="str">
            <v>1,1,1,2-TETRAFLUORETANO (GÁS REFRIGERANTE R 134 a)</v>
          </cell>
          <cell r="C1865">
            <v>1000</v>
          </cell>
          <cell r="D1865" t="str">
            <v>120 ml</v>
          </cell>
        </row>
        <row r="1866">
          <cell r="A1866">
            <v>3160</v>
          </cell>
          <cell r="B1866" t="str">
            <v>GÁS TÓXICO, INFLAMÁVEL, LIQUEFEITO, N.E.</v>
          </cell>
          <cell r="C1866">
            <v>20</v>
          </cell>
          <cell r="D1866" t="str">
            <v>ZERO</v>
          </cell>
        </row>
        <row r="1867">
          <cell r="A1867">
            <v>3161</v>
          </cell>
          <cell r="B1867" t="str">
            <v>GÁS INFLAMÁVEL, LIQUEFEITO, N.E.</v>
          </cell>
          <cell r="C1867">
            <v>333</v>
          </cell>
          <cell r="D1867" t="str">
            <v>ZERO</v>
          </cell>
        </row>
        <row r="1868">
          <cell r="A1868">
            <v>3162</v>
          </cell>
          <cell r="B1868" t="str">
            <v>GÁS TÓXICO, LIQUEFEITO, N.E.</v>
          </cell>
          <cell r="C1868">
            <v>20</v>
          </cell>
          <cell r="D1868" t="str">
            <v>ZERO</v>
          </cell>
        </row>
        <row r="1869">
          <cell r="A1869">
            <v>3163</v>
          </cell>
          <cell r="B1869" t="str">
            <v>GÁS LIQUEFEITO, N.E.</v>
          </cell>
          <cell r="C1869">
            <v>1000</v>
          </cell>
          <cell r="D1869" t="str">
            <v>120 ml</v>
          </cell>
        </row>
        <row r="1870">
          <cell r="A1870">
            <v>3164</v>
          </cell>
          <cell r="B1870" t="str">
            <v>ARTIGOS PRESSURIZADOS PNEUMÁTICOS ou HIDRÁULICOS (contendo gás não-inflamável)</v>
          </cell>
          <cell r="C1870">
            <v>1000</v>
          </cell>
          <cell r="D1870" t="str">
            <v>120 ml</v>
          </cell>
        </row>
        <row r="1871">
          <cell r="A1871">
            <v>3165</v>
          </cell>
          <cell r="B1871" t="str">
            <v>TANQUE  DE  COMBUSTÍVEL  DE  UNIDADE  DE  FORÇA  HIDRÁULICA  PARA  AERONAVE  (contendo  mistura  de</v>
          </cell>
        </row>
        <row r="1872">
          <cell r="A1872">
            <v>3166</v>
          </cell>
          <cell r="B1872" t="str">
            <v>VEÍCULO, MOVIDO A GÁS INFLAMÁVEL ou VEÍCULO, MOVIDO A LÍQUIDO INFLAMÁVEL ou VEÍCULO, COM PILHA  DE  COMBUSTÍVEL,  MOVIDO  A  GÁS  INFLAMÁVEL  ou  VEÍCULO,  COM  PILHA  DE  COMBUSTÍVEL, MOVIDO A LÍQUIDO INFLAMÁVEL</v>
          </cell>
          <cell r="C1872">
            <v>20</v>
          </cell>
          <cell r="D1872" t="str">
            <v>ZERO</v>
          </cell>
        </row>
        <row r="1873">
          <cell r="A1873">
            <v>3167</v>
          </cell>
          <cell r="B1873" t="str">
            <v>GÁS INFLAMÁVEL, NÃO-PRESSURIZADO, AMOSTRA, N.E., não-líquido refrigerado</v>
          </cell>
          <cell r="C1873">
            <v>333</v>
          </cell>
          <cell r="D1873" t="str">
            <v>ZERO</v>
          </cell>
        </row>
        <row r="1874">
          <cell r="A1874">
            <v>3168</v>
          </cell>
          <cell r="B1874" t="str">
            <v>GÁS TÓXICO, INFLAMÁVEL, NÃO-PRESSURIZADO, AMOSTRA, N.E., não-líquido refrigerado</v>
          </cell>
          <cell r="C1874">
            <v>20</v>
          </cell>
          <cell r="D1874" t="str">
            <v>ZERO</v>
          </cell>
        </row>
        <row r="1875">
          <cell r="A1875">
            <v>3169</v>
          </cell>
          <cell r="B1875" t="str">
            <v>GÁS TÓXICO, NÃO-PRESSURIZADO, AMOSTRA, N.E., não-líquido refrigerado</v>
          </cell>
          <cell r="C1875">
            <v>20</v>
          </cell>
          <cell r="D1875" t="str">
            <v>ZERO</v>
          </cell>
        </row>
        <row r="1876">
          <cell r="A1876">
            <v>3170</v>
          </cell>
          <cell r="B1876" t="str">
            <v>ALUMÍNIO, SUBPRODUTOS DA FUNDIÇÃO, ou ALUMÍNIO, SUBPRODUTOS DA REFUNDIÇÃO</v>
          </cell>
          <cell r="C1876">
            <v>333</v>
          </cell>
          <cell r="D1876" t="str">
            <v>1 kg</v>
          </cell>
        </row>
        <row r="1877">
          <cell r="A1877">
            <v>3171</v>
          </cell>
          <cell r="B1877" t="str">
            <v>VEÍCULO MOVIDO A BATERIA, ou EQUIPAMENTO MOVIDO A BATERIA</v>
          </cell>
          <cell r="C1877">
            <v>1000</v>
          </cell>
          <cell r="D1877" t="str">
            <v>1 kg</v>
          </cell>
        </row>
        <row r="1878">
          <cell r="A1878">
            <v>3172</v>
          </cell>
          <cell r="B1878" t="str">
            <v>TOXINAS EXTRAÍDAS DE FONTES VIVAS, LÍQUIDAS, N.E.</v>
          </cell>
          <cell r="C1878">
            <v>20</v>
          </cell>
          <cell r="D1878" t="str">
            <v>100 ml</v>
          </cell>
        </row>
        <row r="1879">
          <cell r="A1879">
            <v>3174</v>
          </cell>
          <cell r="B1879" t="str">
            <v>DISSULFETO DE TITÂNIO</v>
          </cell>
          <cell r="C1879">
            <v>1000</v>
          </cell>
          <cell r="D1879" t="str">
            <v>ZERO</v>
          </cell>
        </row>
        <row r="1880">
          <cell r="A1880">
            <v>3175</v>
          </cell>
          <cell r="B1880" t="str">
            <v>SÓLIDOS CONTENDO LÍQUIDO INFLAMÁVEL, N.E.</v>
          </cell>
          <cell r="C1880">
            <v>333</v>
          </cell>
          <cell r="D1880" t="str">
            <v>1 kg</v>
          </cell>
        </row>
        <row r="1881">
          <cell r="A1881">
            <v>3176</v>
          </cell>
          <cell r="B1881" t="str">
            <v>SÓLIDO INFLAMÁVEL, ORGÂNICO, FUNDIDO, N.E.</v>
          </cell>
          <cell r="C1881">
            <v>333</v>
          </cell>
          <cell r="D1881" t="str">
            <v>ZERO</v>
          </cell>
        </row>
        <row r="1882">
          <cell r="A1882">
            <v>3178</v>
          </cell>
          <cell r="B1882" t="str">
            <v>SÓLIDO INFLAMÁVEL, INORGÂNICO, N.E.</v>
          </cell>
          <cell r="C1882">
            <v>333</v>
          </cell>
          <cell r="D1882" t="str">
            <v>1 kg</v>
          </cell>
        </row>
        <row r="1883">
          <cell r="A1883">
            <v>3179</v>
          </cell>
          <cell r="B1883" t="str">
            <v>SÓLIDO INFLAMÁVEL, TÓXICO, INORGÂNICO, N.E.</v>
          </cell>
          <cell r="C1883">
            <v>333</v>
          </cell>
          <cell r="D1883" t="str">
            <v>1 kg</v>
          </cell>
        </row>
        <row r="1884">
          <cell r="A1884">
            <v>3180</v>
          </cell>
          <cell r="B1884" t="str">
            <v>SÓLIDO INFLAMÁVEL, CORROSIVO, INORGÂNICO, N.E.</v>
          </cell>
          <cell r="C1884">
            <v>333</v>
          </cell>
          <cell r="D1884" t="str">
            <v>1 kg</v>
          </cell>
        </row>
        <row r="1885">
          <cell r="A1885">
            <v>3181</v>
          </cell>
          <cell r="B1885" t="str">
            <v>SAIS METÁLICOS DE COMPOSTOS ORGÂNICOS, INFLAMÁVEIS, N.E.</v>
          </cell>
          <cell r="C1885">
            <v>333</v>
          </cell>
          <cell r="D1885" t="str">
            <v>1 kg</v>
          </cell>
        </row>
        <row r="1886">
          <cell r="A1886">
            <v>3182</v>
          </cell>
          <cell r="B1886" t="str">
            <v>HIDRETOS METÁLICOS, INFLAMÁVEIS, N.E.</v>
          </cell>
          <cell r="C1886">
            <v>333</v>
          </cell>
          <cell r="D1886" t="str">
            <v>1 kg</v>
          </cell>
        </row>
        <row r="1887">
          <cell r="A1887">
            <v>3183</v>
          </cell>
          <cell r="B1887" t="str">
            <v>LÍQUIDO SUJEITO A AUTOAQUECIMENTO, ORGÂNICO, N.E.</v>
          </cell>
          <cell r="C1887">
            <v>333</v>
          </cell>
          <cell r="D1887" t="str">
            <v>ZERO</v>
          </cell>
        </row>
        <row r="1888">
          <cell r="A1888">
            <v>3184</v>
          </cell>
          <cell r="B1888" t="str">
            <v>LÍQUIDO SUJEITO A AUTOAQUECIMENTO, TÓXICO, ORGÂNICO, N.E.</v>
          </cell>
          <cell r="C1888">
            <v>333</v>
          </cell>
          <cell r="D1888" t="str">
            <v>ZERO</v>
          </cell>
        </row>
        <row r="1889">
          <cell r="A1889">
            <v>3185</v>
          </cell>
          <cell r="B1889" t="str">
            <v>LÍQUIDO SUJEITO A AUTOAQUECIMENTO, CORROSIVO, ORGÂNICO, N.E.</v>
          </cell>
          <cell r="C1889">
            <v>333</v>
          </cell>
          <cell r="D1889" t="str">
            <v>ZERO</v>
          </cell>
        </row>
        <row r="1890">
          <cell r="A1890">
            <v>3186</v>
          </cell>
          <cell r="B1890" t="str">
            <v>LÍQUIDO SUJEITO A AUTOAQUECIMENTO, INORGÂNICO, N.E.</v>
          </cell>
          <cell r="C1890">
            <v>333</v>
          </cell>
          <cell r="D1890" t="str">
            <v>ZERO</v>
          </cell>
        </row>
        <row r="1891">
          <cell r="A1891">
            <v>3187</v>
          </cell>
          <cell r="B1891" t="str">
            <v>LÍQUIDO SUJEITO A AUTOAQUECIMENTO, TÓXICO, INORGÂNICO, N.E.</v>
          </cell>
          <cell r="C1891">
            <v>333</v>
          </cell>
          <cell r="D1891" t="str">
            <v>ZERO</v>
          </cell>
        </row>
        <row r="1892">
          <cell r="A1892">
            <v>3188</v>
          </cell>
          <cell r="B1892" t="str">
            <v>LÍQUIDO SUJEITO A AUTOAQUECIMENTO, CORROSIVO, INORGÂNICO, N.E.</v>
          </cell>
          <cell r="C1892">
            <v>333</v>
          </cell>
          <cell r="D1892" t="str">
            <v>ZERO</v>
          </cell>
        </row>
        <row r="1893">
          <cell r="A1893">
            <v>3189</v>
          </cell>
          <cell r="B1893" t="str">
            <v>METAL EM PÓ, SUJEITO A AUTOAQUECIMENTO, N.E.</v>
          </cell>
          <cell r="C1893">
            <v>333</v>
          </cell>
          <cell r="D1893" t="str">
            <v>ZERO</v>
          </cell>
        </row>
        <row r="1894">
          <cell r="A1894">
            <v>3190</v>
          </cell>
          <cell r="B1894" t="str">
            <v>SÓLIDO SUJEITO A AUTOAQUECIMENTO, INORGÂNICO, N.E.</v>
          </cell>
          <cell r="C1894">
            <v>333</v>
          </cell>
          <cell r="D1894" t="str">
            <v>ZERO</v>
          </cell>
        </row>
        <row r="1895">
          <cell r="A1895">
            <v>3191</v>
          </cell>
          <cell r="B1895" t="str">
            <v>SÓLIDO SUJEITO A AUTOAQUECIMENTO, TÓXICO, INORGÂNICO, N.E.</v>
          </cell>
          <cell r="C1895">
            <v>333</v>
          </cell>
          <cell r="D1895" t="str">
            <v>ZERO</v>
          </cell>
        </row>
        <row r="1896">
          <cell r="A1896">
            <v>3192</v>
          </cell>
          <cell r="B1896" t="str">
            <v>SÓLIDO SUJEITO A AUTOAQUECIMENTO, CORROSIVO, INORGÂNICO, N.E.</v>
          </cell>
          <cell r="C1896">
            <v>333</v>
          </cell>
          <cell r="D1896" t="str">
            <v>ZERO</v>
          </cell>
        </row>
        <row r="1897">
          <cell r="A1897">
            <v>3194</v>
          </cell>
          <cell r="B1897" t="str">
            <v>LÍQUIDO PIROFÓRICO, INORGÂNICO, N.E.</v>
          </cell>
          <cell r="C1897" t="str">
            <v>ZERO</v>
          </cell>
          <cell r="D1897" t="str">
            <v>ZERO</v>
          </cell>
        </row>
        <row r="1898">
          <cell r="A1898">
            <v>3200</v>
          </cell>
          <cell r="B1898" t="str">
            <v>SÓLIDO PIROFÓRICO, INORGÂNICO, N.E.</v>
          </cell>
          <cell r="C1898" t="str">
            <v>ZERO</v>
          </cell>
          <cell r="D1898" t="str">
            <v>ZERO</v>
          </cell>
        </row>
        <row r="1899">
          <cell r="A1899">
            <v>3205</v>
          </cell>
          <cell r="B1899" t="str">
            <v>ALCOOLATOS DE METAL ALCALINO-TERROSO, N.E.</v>
          </cell>
          <cell r="C1899">
            <v>333</v>
          </cell>
          <cell r="D1899" t="str">
            <v>ZERO</v>
          </cell>
        </row>
        <row r="1900">
          <cell r="A1900">
            <v>3206</v>
          </cell>
          <cell r="B1900" t="str">
            <v>ALCOOLATOS DE METAL ALCALINO, SUJEITO A AUTOAQUECIMENTO, CORROSIVOS, N.E.</v>
          </cell>
          <cell r="C1900">
            <v>333</v>
          </cell>
          <cell r="D1900" t="str">
            <v>ZERO</v>
          </cell>
        </row>
        <row r="1901">
          <cell r="A1901">
            <v>3208</v>
          </cell>
          <cell r="B1901" t="str">
            <v>SUBSTÂNCIA METÁLICA, QUE REAGE COM ÁGUA, N.E.</v>
          </cell>
          <cell r="C1901">
            <v>20</v>
          </cell>
          <cell r="D1901" t="str">
            <v>1 kg</v>
          </cell>
        </row>
        <row r="1902">
          <cell r="A1902">
            <v>3209</v>
          </cell>
          <cell r="B1902" t="str">
            <v>SUBSTÂNCIA METÁLICA, QUE REAGE COM ÁGUA, SUJEITAA AUTOAQUECIMENTO, N.E.</v>
          </cell>
          <cell r="C1902">
            <v>20</v>
          </cell>
          <cell r="D1902" t="str">
            <v>ZERO</v>
          </cell>
        </row>
        <row r="1903">
          <cell r="A1903">
            <v>3210</v>
          </cell>
          <cell r="B1903" t="str">
            <v>CLORATOS INORGÂNICOS, SOLUÇÃO AQUOSA, N.E.</v>
          </cell>
          <cell r="C1903">
            <v>333</v>
          </cell>
          <cell r="D1903" t="str">
            <v>1 L</v>
          </cell>
        </row>
        <row r="1904">
          <cell r="A1904">
            <v>3211</v>
          </cell>
          <cell r="B1904" t="str">
            <v>PERCLORATOS INORGÂNICOS, SOLUÇÃO AQUOSA, N.E.</v>
          </cell>
          <cell r="C1904">
            <v>333</v>
          </cell>
          <cell r="D1904" t="str">
            <v>1 L</v>
          </cell>
        </row>
        <row r="1905">
          <cell r="A1905">
            <v>3212</v>
          </cell>
          <cell r="B1905" t="str">
            <v>HIPOCLORITOS INORGÂNICOS, N.E.</v>
          </cell>
          <cell r="C1905">
            <v>333</v>
          </cell>
          <cell r="D1905" t="str">
            <v>1 kg</v>
          </cell>
        </row>
        <row r="1906">
          <cell r="A1906">
            <v>3213</v>
          </cell>
          <cell r="B1906" t="str">
            <v>BROMATOS INORGÂNICOS, SOLUÇÃO AQUOSA, N.E.</v>
          </cell>
          <cell r="C1906">
            <v>333</v>
          </cell>
          <cell r="D1906" t="str">
            <v>1 L</v>
          </cell>
        </row>
        <row r="1907">
          <cell r="A1907">
            <v>3214</v>
          </cell>
          <cell r="B1907" t="str">
            <v>PERMANGANATOS INORGÂNICOS, SOLIÇÃO AQUOSA, N.E.</v>
          </cell>
          <cell r="C1907">
            <v>333</v>
          </cell>
          <cell r="D1907" t="str">
            <v>1 L</v>
          </cell>
        </row>
        <row r="1908">
          <cell r="A1908">
            <v>3215</v>
          </cell>
          <cell r="B1908" t="str">
            <v>PERSULFATOS INORGÂNICOS, N.E.</v>
          </cell>
          <cell r="C1908">
            <v>1000</v>
          </cell>
          <cell r="D1908" t="str">
            <v>5 kg</v>
          </cell>
        </row>
        <row r="1909">
          <cell r="A1909">
            <v>3216</v>
          </cell>
          <cell r="B1909" t="str">
            <v>PERSULFATOS INORGÂNICOS, SOLUÇÃO AQUOSA, N.E.</v>
          </cell>
          <cell r="C1909">
            <v>1000</v>
          </cell>
          <cell r="D1909" t="str">
            <v>5 L</v>
          </cell>
        </row>
        <row r="1910">
          <cell r="A1910">
            <v>3218</v>
          </cell>
          <cell r="B1910" t="str">
            <v>NITRATOS INORGÂNICOS, SOLUÇÃO AQUOSA, N.E.</v>
          </cell>
          <cell r="C1910">
            <v>333</v>
          </cell>
          <cell r="D1910" t="str">
            <v>1 L</v>
          </cell>
        </row>
        <row r="1911">
          <cell r="A1911">
            <v>3219</v>
          </cell>
          <cell r="B1911" t="str">
            <v>NITRITOS INORGÂNICOS, SOLUÇÃO AQUOSA, N.E.</v>
          </cell>
          <cell r="C1911">
            <v>333</v>
          </cell>
          <cell r="D1911" t="str">
            <v>1 L</v>
          </cell>
        </row>
        <row r="1912">
          <cell r="A1912">
            <v>3220</v>
          </cell>
          <cell r="B1912" t="str">
            <v>PENTAFLUORETANO (GÁS REFRIGERANTE R 125)</v>
          </cell>
          <cell r="C1912">
            <v>1000</v>
          </cell>
          <cell r="D1912" t="str">
            <v>120 ml</v>
          </cell>
        </row>
        <row r="1913">
          <cell r="A1913">
            <v>3221</v>
          </cell>
          <cell r="B1913" t="str">
            <v>LÍQUIDO AUTORREAGENTE, TIPO B</v>
          </cell>
          <cell r="C1913">
            <v>20</v>
          </cell>
          <cell r="D1913" t="str">
            <v>25 ml</v>
          </cell>
        </row>
        <row r="1914">
          <cell r="A1914">
            <v>3222</v>
          </cell>
          <cell r="B1914" t="str">
            <v>SÓLIDO AUTORREAGENTE, TIPO B</v>
          </cell>
          <cell r="C1914">
            <v>20</v>
          </cell>
          <cell r="D1914" t="str">
            <v>100 g</v>
          </cell>
        </row>
        <row r="1915">
          <cell r="A1915">
            <v>3223</v>
          </cell>
          <cell r="B1915" t="str">
            <v>LÍQUIDO AUTORREAGENTE, TIPO C</v>
          </cell>
          <cell r="C1915">
            <v>20</v>
          </cell>
          <cell r="D1915" t="str">
            <v>25 ml</v>
          </cell>
        </row>
        <row r="1916">
          <cell r="A1916">
            <v>3224</v>
          </cell>
          <cell r="B1916" t="str">
            <v>SÓLIDO AUTORREAGENTE, TIPO C</v>
          </cell>
          <cell r="C1916">
            <v>20</v>
          </cell>
          <cell r="D1916" t="str">
            <v>100 g</v>
          </cell>
        </row>
        <row r="1917">
          <cell r="A1917">
            <v>3225</v>
          </cell>
          <cell r="B1917" t="str">
            <v>LÍQUIDO AUTORREAGENTE, TIPO D</v>
          </cell>
          <cell r="C1917">
            <v>333</v>
          </cell>
          <cell r="D1917" t="str">
            <v>125 ml</v>
          </cell>
        </row>
        <row r="1918">
          <cell r="A1918">
            <v>3226</v>
          </cell>
          <cell r="B1918" t="str">
            <v>SÓLIDO AUTORREAGENTE, TIPO D</v>
          </cell>
          <cell r="C1918">
            <v>333</v>
          </cell>
          <cell r="D1918" t="str">
            <v>500 g</v>
          </cell>
        </row>
        <row r="1919">
          <cell r="A1919">
            <v>3227</v>
          </cell>
          <cell r="B1919" t="str">
            <v>LÍQUIDO AUTORREAGENTE, TIPO E</v>
          </cell>
          <cell r="C1919">
            <v>333</v>
          </cell>
          <cell r="D1919" t="str">
            <v>125 ml</v>
          </cell>
        </row>
        <row r="1920">
          <cell r="A1920">
            <v>3228</v>
          </cell>
          <cell r="B1920" t="str">
            <v>SÓLIDO AUTORREAGENTE, TIPO E</v>
          </cell>
          <cell r="C1920">
            <v>333</v>
          </cell>
          <cell r="D1920" t="str">
            <v>500 g</v>
          </cell>
        </row>
        <row r="1921">
          <cell r="A1921">
            <v>3229</v>
          </cell>
          <cell r="B1921" t="str">
            <v>LÍQUIDO AUTORREAGENTE, TIPO F</v>
          </cell>
          <cell r="C1921">
            <v>333</v>
          </cell>
          <cell r="D1921" t="str">
            <v>125 ml</v>
          </cell>
        </row>
        <row r="1922">
          <cell r="A1922">
            <v>3230</v>
          </cell>
          <cell r="B1922" t="str">
            <v>SÓLIDO AUTORREAGENTE, TIPO F</v>
          </cell>
          <cell r="C1922">
            <v>333</v>
          </cell>
          <cell r="D1922" t="str">
            <v>500 g</v>
          </cell>
        </row>
        <row r="1923">
          <cell r="A1923">
            <v>3231</v>
          </cell>
          <cell r="B1923" t="str">
            <v>LÍQUIDO AUTORREAGENTE, TIPO B, TEMPERATURA CONTROLADA</v>
          </cell>
          <cell r="C1923">
            <v>20</v>
          </cell>
          <cell r="D1923" t="str">
            <v>ZERO</v>
          </cell>
        </row>
        <row r="1924">
          <cell r="A1924">
            <v>3232</v>
          </cell>
          <cell r="B1924" t="str">
            <v>SÓLIDO AUTORREAGENTE, TIPO B, TEMPERATURA CONTROLADA</v>
          </cell>
          <cell r="C1924">
            <v>20</v>
          </cell>
          <cell r="D1924" t="str">
            <v>ZERO</v>
          </cell>
        </row>
        <row r="1925">
          <cell r="A1925">
            <v>3233</v>
          </cell>
          <cell r="B1925" t="str">
            <v>LÍQUIDO AUTORREAGENTE, TIPO C, TEMPERATURA CONTROLADA</v>
          </cell>
          <cell r="C1925">
            <v>20</v>
          </cell>
          <cell r="D1925" t="str">
            <v>ZERO</v>
          </cell>
        </row>
        <row r="1926">
          <cell r="A1926">
            <v>3234</v>
          </cell>
          <cell r="B1926" t="str">
            <v>SÓLIDO AUTORREAGENTE, TIPO C, TEMPERATURA CONTROLADA</v>
          </cell>
          <cell r="C1926">
            <v>20</v>
          </cell>
          <cell r="D1926" t="str">
            <v>ZERO</v>
          </cell>
        </row>
        <row r="1927">
          <cell r="A1927">
            <v>3235</v>
          </cell>
          <cell r="B1927" t="str">
            <v>LÍQUIDO AUTORREAGENTE, TIPO D, TEMPERATURA CONTROLADA</v>
          </cell>
          <cell r="C1927">
            <v>20</v>
          </cell>
          <cell r="D1927" t="str">
            <v>ZERO</v>
          </cell>
        </row>
        <row r="1928">
          <cell r="A1928">
            <v>3236</v>
          </cell>
          <cell r="B1928" t="str">
            <v>SÓLIDO AUTORREAGENTE, TIPO D, TEMPERATURA CONTROLADA</v>
          </cell>
          <cell r="C1928">
            <v>20</v>
          </cell>
          <cell r="D1928" t="str">
            <v>ZERO</v>
          </cell>
        </row>
        <row r="1929">
          <cell r="A1929">
            <v>3237</v>
          </cell>
          <cell r="B1929" t="str">
            <v>LÍQUIDO AUTORREAGENTE, TIPO E, TEMPERATURA CONTROLADA</v>
          </cell>
          <cell r="C1929">
            <v>20</v>
          </cell>
          <cell r="D1929" t="str">
            <v>ZERO</v>
          </cell>
        </row>
        <row r="1930">
          <cell r="A1930">
            <v>3238</v>
          </cell>
          <cell r="B1930" t="str">
            <v>SÓLIDO AUTORREAGENTE, TIPO E, TEMPERATURA CONTROLADA</v>
          </cell>
          <cell r="C1930">
            <v>20</v>
          </cell>
          <cell r="D1930" t="str">
            <v>ZERO</v>
          </cell>
        </row>
        <row r="1931">
          <cell r="A1931">
            <v>3239</v>
          </cell>
          <cell r="B1931" t="str">
            <v>LÍQUIDO AUTORREAGENTE, TIPO F, TEMPERATURA CONTROLADA</v>
          </cell>
          <cell r="C1931">
            <v>20</v>
          </cell>
          <cell r="D1931" t="str">
            <v>ZERO</v>
          </cell>
        </row>
        <row r="1932">
          <cell r="A1932">
            <v>3240</v>
          </cell>
          <cell r="B1932" t="str">
            <v>SÓLIDO AUTORREAGENTE, TIPO F, TEMPERATURA CONTROLADA</v>
          </cell>
          <cell r="C1932">
            <v>20</v>
          </cell>
          <cell r="D1932" t="str">
            <v>ZERO</v>
          </cell>
        </row>
        <row r="1933">
          <cell r="A1933">
            <v>3241</v>
          </cell>
          <cell r="B1933" t="str">
            <v>2-BROMO-2-NITROPROPANO-1,3-DIOL</v>
          </cell>
          <cell r="C1933">
            <v>1000</v>
          </cell>
          <cell r="D1933" t="str">
            <v>5 kg</v>
          </cell>
        </row>
        <row r="1934">
          <cell r="A1934">
            <v>3242</v>
          </cell>
          <cell r="B1934" t="str">
            <v>AZODICARBONAMIDA</v>
          </cell>
          <cell r="C1934">
            <v>333</v>
          </cell>
          <cell r="D1934" t="str">
            <v>1 kg</v>
          </cell>
        </row>
        <row r="1935">
          <cell r="A1935">
            <v>3243</v>
          </cell>
          <cell r="B1935" t="str">
            <v>SÓLIDOS CONTENDO LÍQUIDO TÓXICO, N.E.</v>
          </cell>
          <cell r="C1935">
            <v>333</v>
          </cell>
          <cell r="D1935" t="str">
            <v>500 g</v>
          </cell>
        </row>
        <row r="1936">
          <cell r="A1936">
            <v>3244</v>
          </cell>
          <cell r="B1936" t="str">
            <v>SÓLIDOS CONTENDO LÍQUIDO CORROSIVO, N.E.</v>
          </cell>
          <cell r="C1936">
            <v>333</v>
          </cell>
          <cell r="D1936" t="str">
            <v>1 kg</v>
          </cell>
        </row>
        <row r="1937">
          <cell r="A1937">
            <v>3245</v>
          </cell>
          <cell r="B1937" t="str">
            <v>MICROONGANISMOS GENETICAMENTE MODIFICADOS ou ORGANISMOS GENETICAMENTE MODIFICADOS</v>
          </cell>
          <cell r="C1937">
            <v>333</v>
          </cell>
          <cell r="D1937" t="str">
            <v>ZERO</v>
          </cell>
        </row>
        <row r="1938">
          <cell r="A1938">
            <v>3246</v>
          </cell>
          <cell r="B1938" t="str">
            <v>CLORETO DE METANOSSULFONILA</v>
          </cell>
          <cell r="C1938">
            <v>20</v>
          </cell>
          <cell r="D1938" t="str">
            <v>ZERO</v>
          </cell>
        </row>
        <row r="1939">
          <cell r="A1939">
            <v>3247</v>
          </cell>
          <cell r="B1939" t="str">
            <v>PEROXOBORATO DE SÓDIO, ANIDRO</v>
          </cell>
          <cell r="C1939">
            <v>333</v>
          </cell>
          <cell r="D1939" t="str">
            <v>1 kg</v>
          </cell>
        </row>
        <row r="1940">
          <cell r="A1940">
            <v>3248</v>
          </cell>
          <cell r="B1940" t="str">
            <v>MEDICAMENTO, INFLAMÁVEL, TÓXICO, LÍQUIDO, N.E.</v>
          </cell>
          <cell r="C1940">
            <v>333</v>
          </cell>
          <cell r="D1940" t="str">
            <v>1 L</v>
          </cell>
        </row>
        <row r="1941">
          <cell r="A1941">
            <v>3249</v>
          </cell>
          <cell r="B1941" t="str">
            <v>MEDICAMENTO, TÓXICO, SÓLIDO, N.E.</v>
          </cell>
          <cell r="C1941">
            <v>333</v>
          </cell>
          <cell r="D1941" t="str">
            <v>5 kg</v>
          </cell>
        </row>
        <row r="1942">
          <cell r="A1942">
            <v>3250</v>
          </cell>
          <cell r="B1942" t="str">
            <v>ÁCIDO CLORACÉTICO, FUNDIDO</v>
          </cell>
          <cell r="C1942" t="str">
            <v>ZERO</v>
          </cell>
          <cell r="D1942" t="str">
            <v>ZERO</v>
          </cell>
        </row>
        <row r="1943">
          <cell r="A1943">
            <v>3251</v>
          </cell>
          <cell r="B1943" t="str">
            <v>5-MONONITRATO DE ISOSORBIDE</v>
          </cell>
          <cell r="C1943">
            <v>1000</v>
          </cell>
          <cell r="D1943" t="str">
            <v>5 kg</v>
          </cell>
        </row>
        <row r="1944">
          <cell r="A1944">
            <v>3252</v>
          </cell>
          <cell r="B1944" t="str">
            <v>DIFLUORMETANO (GÁS REFRIGERANTE R 32)</v>
          </cell>
          <cell r="C1944">
            <v>333</v>
          </cell>
          <cell r="D1944" t="str">
            <v>ZERO</v>
          </cell>
        </row>
        <row r="1945">
          <cell r="A1945">
            <v>3253</v>
          </cell>
          <cell r="B1945" t="str">
            <v>TRIOXOSSILICATO DE DISÓDIO</v>
          </cell>
          <cell r="C1945">
            <v>1000</v>
          </cell>
          <cell r="D1945" t="str">
            <v>5 kg</v>
          </cell>
        </row>
        <row r="1946">
          <cell r="A1946">
            <v>3254</v>
          </cell>
          <cell r="B1946" t="str">
            <v>TRIBUTILFOSFANO</v>
          </cell>
          <cell r="C1946" t="str">
            <v>ZERO</v>
          </cell>
          <cell r="D1946" t="str">
            <v>ZERO</v>
          </cell>
        </row>
        <row r="1947">
          <cell r="A1947">
            <v>3255</v>
          </cell>
          <cell r="B1947" t="str">
            <v>HIPOCLORITO DE t-BUTILA</v>
          </cell>
          <cell r="C1947" t="str">
            <v>ZERO</v>
          </cell>
          <cell r="D1947" t="str">
            <v>ZERO</v>
          </cell>
        </row>
        <row r="1948">
          <cell r="A1948">
            <v>3256</v>
          </cell>
          <cell r="B1948" t="str">
            <v>LÍQUIDO A TEMPERATURA ELEVADA, INFLAMÁVEL, N.E., com PFg superior a 60ºC, a temperatura igual ou superior</v>
          </cell>
        </row>
        <row r="1949">
          <cell r="A1949">
            <v>3257</v>
          </cell>
          <cell r="B1949" t="str">
            <v>LÍQUIDO A TEMPERATURA ELEVADA, N.E., a 100ºC ou mais e abaixo do PFg (incluindo metais fundidos, sais fundidos,</v>
          </cell>
        </row>
        <row r="1950">
          <cell r="A1950">
            <v>3258</v>
          </cell>
          <cell r="B1950" t="str">
            <v>SÓLIDO A TEMPERATURA ELEVADA, N.E. a 240ºC ou mais</v>
          </cell>
          <cell r="C1950">
            <v>1000</v>
          </cell>
          <cell r="D1950" t="str">
            <v>ZERO</v>
          </cell>
        </row>
        <row r="1951">
          <cell r="A1951">
            <v>3259</v>
          </cell>
          <cell r="B1951" t="str">
            <v>AMINAS, CORROSIVAS, SÓLIDAS, N.E., ou POLIAMINAS, CORROSIVAS, SÓLIDAS, N.E.</v>
          </cell>
          <cell r="C1951">
            <v>20</v>
          </cell>
          <cell r="D1951" t="str">
            <v>1 kg</v>
          </cell>
        </row>
        <row r="1952">
          <cell r="A1952">
            <v>3260</v>
          </cell>
          <cell r="B1952" t="str">
            <v>SÓLIDO CORROSIVO, ÁCIDO, INORGÂNICO, N.E.</v>
          </cell>
          <cell r="C1952">
            <v>20</v>
          </cell>
          <cell r="D1952" t="str">
            <v>1 kg</v>
          </cell>
        </row>
        <row r="1953">
          <cell r="A1953">
            <v>3261</v>
          </cell>
          <cell r="B1953" t="str">
            <v>SÓLIDO CORROSIVO, ÁCIDO, ORGÂNICO, N.E.</v>
          </cell>
          <cell r="C1953">
            <v>20</v>
          </cell>
          <cell r="D1953" t="str">
            <v>1 kg</v>
          </cell>
        </row>
        <row r="1954">
          <cell r="A1954">
            <v>3262</v>
          </cell>
          <cell r="B1954" t="str">
            <v>SÓLIDO CORROSIVO, BÁSICO, INORGÂNICO, N.E.</v>
          </cell>
          <cell r="C1954">
            <v>20</v>
          </cell>
          <cell r="D1954" t="str">
            <v>1 kg</v>
          </cell>
        </row>
        <row r="1955">
          <cell r="A1955">
            <v>3263</v>
          </cell>
          <cell r="B1955" t="str">
            <v>SÓLIDO CORROSIVO, BÁSICO, ORGÂNICO, N.E.</v>
          </cell>
          <cell r="C1955">
            <v>20</v>
          </cell>
          <cell r="D1955" t="str">
            <v>1 kg</v>
          </cell>
        </row>
        <row r="1956">
          <cell r="A1956">
            <v>3264</v>
          </cell>
          <cell r="B1956" t="str">
            <v>LÍQUIDO CORROSIVO, ÁCIDO, INORGÂNICO, N.E.</v>
          </cell>
          <cell r="C1956">
            <v>20</v>
          </cell>
          <cell r="D1956" t="str">
            <v>1 L</v>
          </cell>
        </row>
        <row r="1957">
          <cell r="A1957">
            <v>3265</v>
          </cell>
          <cell r="B1957" t="str">
            <v>LÍQUIDO CORROSIVO, ÁCIDO, ORGÂNICO, N.E.</v>
          </cell>
          <cell r="C1957">
            <v>20</v>
          </cell>
          <cell r="D1957" t="str">
            <v>1 L</v>
          </cell>
        </row>
        <row r="1958">
          <cell r="A1958">
            <v>3266</v>
          </cell>
          <cell r="B1958" t="str">
            <v>LÍQUIDO CORROSIVO, BÁSICO, INORGÂNICO, N.E.</v>
          </cell>
          <cell r="C1958">
            <v>20</v>
          </cell>
          <cell r="D1958" t="str">
            <v>1 L</v>
          </cell>
        </row>
        <row r="1959">
          <cell r="A1959">
            <v>3267</v>
          </cell>
          <cell r="B1959" t="str">
            <v>LÍQUIDO CORROSIVO, BÁSICO, ORGÂNICO, N.E.</v>
          </cell>
          <cell r="C1959">
            <v>20</v>
          </cell>
          <cell r="D1959" t="str">
            <v>1 L</v>
          </cell>
        </row>
        <row r="1960">
          <cell r="A1960">
            <v>3268</v>
          </cell>
          <cell r="B1960" t="str">
            <v>DISPOSITIVOS DE SEGURANÇA, acionados eletricamente</v>
          </cell>
          <cell r="C1960" t="str">
            <v>ILIMITADA</v>
          </cell>
          <cell r="D1960" t="str">
            <v>ZERO</v>
          </cell>
        </row>
        <row r="1961">
          <cell r="A1961">
            <v>3269</v>
          </cell>
          <cell r="B1961" t="str">
            <v>RESINA DE POLIÉSTER, CONJUNTO material a base líquida</v>
          </cell>
          <cell r="C1961">
            <v>333</v>
          </cell>
          <cell r="D1961" t="str">
            <v>5 L</v>
          </cell>
        </row>
        <row r="1962">
          <cell r="A1962">
            <v>3270</v>
          </cell>
          <cell r="B1962" t="str">
            <v>FILTROS DE MEMBRANA DE NITROCELULOSE, com até 12,6% de nitrogênio, massa seca</v>
          </cell>
          <cell r="C1962">
            <v>333</v>
          </cell>
          <cell r="D1962" t="str">
            <v>1 kg</v>
          </cell>
        </row>
        <row r="1963">
          <cell r="A1963">
            <v>3271</v>
          </cell>
          <cell r="B1963" t="str">
            <v>ÉTERES, N.E.</v>
          </cell>
          <cell r="C1963">
            <v>333</v>
          </cell>
          <cell r="D1963" t="str">
            <v>1 L</v>
          </cell>
        </row>
        <row r="1964">
          <cell r="A1964">
            <v>3272</v>
          </cell>
          <cell r="B1964" t="str">
            <v>ÉSTERES, N.E.</v>
          </cell>
          <cell r="C1964">
            <v>333</v>
          </cell>
          <cell r="D1964" t="str">
            <v>1 L</v>
          </cell>
        </row>
        <row r="1965">
          <cell r="A1965">
            <v>3273</v>
          </cell>
          <cell r="B1965" t="str">
            <v>NITRILAS, INFLAMÁVEIS, TÓXICAS, N.E.</v>
          </cell>
          <cell r="C1965">
            <v>20</v>
          </cell>
          <cell r="D1965" t="str">
            <v>1 L</v>
          </cell>
        </row>
        <row r="1966">
          <cell r="A1966">
            <v>3274</v>
          </cell>
          <cell r="B1966" t="str">
            <v>ALCOOLATOS SOLUÇÃO alcoólica, N.E.</v>
          </cell>
          <cell r="C1966">
            <v>333</v>
          </cell>
          <cell r="D1966" t="str">
            <v>1 L</v>
          </cell>
        </row>
        <row r="1967">
          <cell r="A1967">
            <v>3275</v>
          </cell>
          <cell r="B1967" t="str">
            <v>NITRILAS, TÓXICAS, INFLAMÁVEIS, N.E.</v>
          </cell>
          <cell r="C1967">
            <v>20</v>
          </cell>
          <cell r="D1967" t="str">
            <v>100 ml</v>
          </cell>
        </row>
        <row r="1968">
          <cell r="A1968">
            <v>3276</v>
          </cell>
          <cell r="B1968" t="str">
            <v>NITRILAS, TÓXICAS, LÍQUIDAS, N.E.</v>
          </cell>
          <cell r="C1968">
            <v>20</v>
          </cell>
          <cell r="D1968" t="str">
            <v>100 ml</v>
          </cell>
        </row>
        <row r="1969">
          <cell r="A1969">
            <v>3277</v>
          </cell>
          <cell r="B1969" t="str">
            <v>CLOROFORMIATOS, TÓXICOS, CORROSIVOS, N.E.</v>
          </cell>
          <cell r="C1969">
            <v>333</v>
          </cell>
          <cell r="D1969" t="str">
            <v>100 ml</v>
          </cell>
        </row>
        <row r="1970">
          <cell r="A1970">
            <v>3278</v>
          </cell>
          <cell r="B1970" t="str">
            <v>COMPOSTO ORGANOFOSFORADO, TÓXICO, LÍQUIDO, N.E.</v>
          </cell>
          <cell r="C1970">
            <v>20</v>
          </cell>
          <cell r="D1970" t="str">
            <v>100 ml</v>
          </cell>
        </row>
        <row r="1971">
          <cell r="A1971">
            <v>3279</v>
          </cell>
          <cell r="B1971" t="str">
            <v>COMPOSTO ORGANOFOSFORADO, TÓXICO, INFLAMÁVEL, N.E.</v>
          </cell>
          <cell r="C1971">
            <v>20</v>
          </cell>
          <cell r="D1971" t="str">
            <v>100 ml</v>
          </cell>
        </row>
        <row r="1972">
          <cell r="A1972">
            <v>3280</v>
          </cell>
          <cell r="B1972" t="str">
            <v>ARSÊNIO, COMPOSTO ORGÂNICO, LÍQUIDO, N.E.</v>
          </cell>
          <cell r="C1972">
            <v>20</v>
          </cell>
          <cell r="D1972" t="str">
            <v>100 ml</v>
          </cell>
        </row>
        <row r="1973">
          <cell r="A1973">
            <v>3281</v>
          </cell>
          <cell r="B1973" t="str">
            <v>METAL CARBONILAS, LÍQUIDAS, N.E.</v>
          </cell>
          <cell r="C1973">
            <v>20</v>
          </cell>
          <cell r="D1973" t="str">
            <v>100 ml</v>
          </cell>
        </row>
        <row r="1974">
          <cell r="A1974">
            <v>3282</v>
          </cell>
          <cell r="B1974" t="str">
            <v>COMPOSTO ORGANOMETÁLICO, TÓXICO, LÍQUIDO, N.E.</v>
          </cell>
          <cell r="C1974">
            <v>20</v>
          </cell>
          <cell r="D1974" t="str">
            <v>100 ml</v>
          </cell>
        </row>
        <row r="1975">
          <cell r="A1975">
            <v>3283</v>
          </cell>
          <cell r="B1975" t="str">
            <v>SELÊNIO, COMPOSTO, SÓLIDO, N.E.</v>
          </cell>
          <cell r="C1975">
            <v>20</v>
          </cell>
          <cell r="D1975" t="str">
            <v>5 kg</v>
          </cell>
        </row>
        <row r="1976">
          <cell r="A1976">
            <v>3284</v>
          </cell>
          <cell r="B1976" t="str">
            <v>TELÚRIO, COMPOSTO, N.E.</v>
          </cell>
          <cell r="C1976">
            <v>20</v>
          </cell>
          <cell r="D1976" t="str">
            <v>5 kg</v>
          </cell>
        </row>
        <row r="1977">
          <cell r="A1977">
            <v>3285</v>
          </cell>
          <cell r="B1977" t="str">
            <v>VANÁDIO, COMPOSTO, N.E.</v>
          </cell>
          <cell r="C1977">
            <v>20</v>
          </cell>
          <cell r="D1977" t="str">
            <v>5 kg</v>
          </cell>
        </row>
        <row r="1978">
          <cell r="A1978">
            <v>3286</v>
          </cell>
          <cell r="B1978" t="str">
            <v>LÍQUIDO INFLAMÁVEL, TÓXICO, CORROSIVO, N.E.</v>
          </cell>
          <cell r="C1978">
            <v>20</v>
          </cell>
          <cell r="D1978" t="str">
            <v>1 L</v>
          </cell>
        </row>
        <row r="1979">
          <cell r="A1979">
            <v>3287</v>
          </cell>
          <cell r="B1979" t="str">
            <v>LÍQUIDO TÓXICO, INORGÂNICO, N.E.</v>
          </cell>
          <cell r="C1979">
            <v>20</v>
          </cell>
          <cell r="D1979" t="str">
            <v>100 ml</v>
          </cell>
        </row>
        <row r="1980">
          <cell r="A1980">
            <v>3288</v>
          </cell>
          <cell r="B1980" t="str">
            <v>SÓLIDO TÓXICO, INORGÂNICO, N.E.</v>
          </cell>
          <cell r="C1980">
            <v>20</v>
          </cell>
          <cell r="D1980" t="str">
            <v>5 kg</v>
          </cell>
        </row>
        <row r="1981">
          <cell r="A1981">
            <v>3289</v>
          </cell>
          <cell r="B1981" t="str">
            <v>LÍQUIDO TÓXICO, CORROSIVO, INORGÂNICO, N.E.</v>
          </cell>
          <cell r="C1981">
            <v>20</v>
          </cell>
          <cell r="D1981" t="str">
            <v>100 ml</v>
          </cell>
        </row>
        <row r="1982">
          <cell r="A1982">
            <v>3290</v>
          </cell>
          <cell r="B1982" t="str">
            <v>SÓLIDO TÓXICO, CORROSIVO, INORGÂNICO, N.E.</v>
          </cell>
          <cell r="C1982">
            <v>20</v>
          </cell>
          <cell r="D1982" t="str">
            <v>500 g</v>
          </cell>
        </row>
        <row r="1983">
          <cell r="A1983">
            <v>3291</v>
          </cell>
          <cell r="B1983" t="str">
            <v>RESÍDUOS  CLÍNICOS  INESPECÍFICOS,   N.E.,   ou   RESÍDUOS  (BIO)   MÉDICOS,   N.E.,  ou   RESÍDUOS  MÉDICOS REGULAMENTADOS, N.E.</v>
          </cell>
          <cell r="C1983">
            <v>333</v>
          </cell>
          <cell r="D1983" t="str">
            <v>ZERO</v>
          </cell>
        </row>
        <row r="1984">
          <cell r="A1984">
            <v>3292</v>
          </cell>
          <cell r="B1984" t="str">
            <v>BATERIAS, CONTENDO SÓDIO, ou PILHAS, CONTENDO SÓDIO</v>
          </cell>
          <cell r="C1984">
            <v>333</v>
          </cell>
          <cell r="D1984" t="str">
            <v>ZERO</v>
          </cell>
        </row>
        <row r="1985">
          <cell r="A1985">
            <v>3293</v>
          </cell>
          <cell r="B1985" t="str">
            <v>HIDRAZINA, SOLUÇÃO AQUOSA com até 37% de hidrazina, em massa</v>
          </cell>
          <cell r="C1985">
            <v>333</v>
          </cell>
          <cell r="D1985" t="str">
            <v>5 L</v>
          </cell>
        </row>
        <row r="1986">
          <cell r="A1986">
            <v>3294</v>
          </cell>
          <cell r="B1986" t="str">
            <v>CIANETO DE HIDROGÊNIO, SOLUÇÃO ALCOÓLICA, com até 45% de cianeto de hidrogênio</v>
          </cell>
          <cell r="C1986" t="str">
            <v>ZERO</v>
          </cell>
          <cell r="D1986" t="str">
            <v>ZERO</v>
          </cell>
        </row>
        <row r="1987">
          <cell r="A1987">
            <v>3295</v>
          </cell>
          <cell r="B1987" t="str">
            <v>HIDROCARBONETO(S), LÍQUIDO(S), N.E.</v>
          </cell>
          <cell r="C1987">
            <v>20</v>
          </cell>
          <cell r="D1987" t="str">
            <v>1 L</v>
          </cell>
        </row>
        <row r="1988">
          <cell r="A1988">
            <v>3296</v>
          </cell>
          <cell r="B1988" t="str">
            <v>HEPTAFLUORPROPANO (GÁS REFRIGERANTE R 227)</v>
          </cell>
          <cell r="C1988">
            <v>1000</v>
          </cell>
          <cell r="D1988" t="str">
            <v>120 ml</v>
          </cell>
        </row>
        <row r="1989">
          <cell r="A1989">
            <v>3297</v>
          </cell>
          <cell r="B1989" t="str">
            <v>MISTURA DE ÓXIDO DE ETILENO E CLOROTETRAFLUORETANO com até 8,8% de óxido de etileno</v>
          </cell>
          <cell r="C1989">
            <v>1000</v>
          </cell>
          <cell r="D1989" t="str">
            <v>120 ml</v>
          </cell>
        </row>
        <row r="1990">
          <cell r="A1990">
            <v>3298</v>
          </cell>
          <cell r="B1990" t="str">
            <v>MISTURA DE ÓXIDO DE ETILENO E PENTAFLUORETANO com até 7,9% de óxido de etileno</v>
          </cell>
          <cell r="C1990">
            <v>1000</v>
          </cell>
          <cell r="D1990" t="str">
            <v>120 ml</v>
          </cell>
        </row>
        <row r="1991">
          <cell r="A1991">
            <v>3299</v>
          </cell>
          <cell r="B1991" t="str">
            <v>MISTURA DE ÓXIDO DE ETILENO E TETRAFLUORETANO com até 5,6% de óxido de etileno</v>
          </cell>
          <cell r="C1991">
            <v>1000</v>
          </cell>
          <cell r="D1991" t="str">
            <v>120 ml</v>
          </cell>
        </row>
        <row r="1992">
          <cell r="A1992">
            <v>3300</v>
          </cell>
          <cell r="B1992" t="str">
            <v>MISTURA DE ÓXIDO DE ETILENO E DIÓXIDO DE CARBONO com mais de 87% de óxido de etileno</v>
          </cell>
          <cell r="C1992">
            <v>20</v>
          </cell>
          <cell r="D1992" t="str">
            <v>ZERO</v>
          </cell>
        </row>
        <row r="1993">
          <cell r="A1993">
            <v>3301</v>
          </cell>
          <cell r="B1993" t="str">
            <v>LÍQUIDO CORROSIVO, SUJEITO A AUTOAQUECIMENTO, N.E.</v>
          </cell>
          <cell r="C1993">
            <v>20</v>
          </cell>
          <cell r="D1993" t="str">
            <v>ZERO</v>
          </cell>
        </row>
        <row r="1994">
          <cell r="A1994">
            <v>3302</v>
          </cell>
          <cell r="B1994" t="str">
            <v>ACRILATO DE 2-DIMETILAMINOETILA</v>
          </cell>
          <cell r="C1994">
            <v>333</v>
          </cell>
          <cell r="D1994" t="str">
            <v>100 ml</v>
          </cell>
        </row>
        <row r="1995">
          <cell r="A1995">
            <v>3303</v>
          </cell>
          <cell r="B1995" t="str">
            <v>GÁS TÓXICO, OXIDANTE, COMPRIMIDO, N.E.</v>
          </cell>
          <cell r="C1995">
            <v>20</v>
          </cell>
          <cell r="D1995" t="str">
            <v>ZERO</v>
          </cell>
        </row>
        <row r="1996">
          <cell r="A1996">
            <v>3304</v>
          </cell>
          <cell r="B1996" t="str">
            <v>GÁS TÓXICO, CORROSIVO, COMPRIMIDO, N.E.</v>
          </cell>
          <cell r="C1996">
            <v>20</v>
          </cell>
          <cell r="D1996" t="str">
            <v>ZERO</v>
          </cell>
        </row>
        <row r="1997">
          <cell r="A1997">
            <v>3305</v>
          </cell>
          <cell r="B1997" t="str">
            <v>GÁS TÓXICO, INFLAMÁVEL, CORROSIVO, COMPRIMIDO, N.E.</v>
          </cell>
          <cell r="C1997">
            <v>20</v>
          </cell>
          <cell r="D1997" t="str">
            <v>ZERO</v>
          </cell>
        </row>
        <row r="1998">
          <cell r="A1998">
            <v>3306</v>
          </cell>
          <cell r="B1998" t="str">
            <v>GÁS TÓXICO, OXIDANTE, CORROSIVO, COMPRIMIDO, N.E.</v>
          </cell>
          <cell r="C1998">
            <v>20</v>
          </cell>
          <cell r="D1998" t="str">
            <v>ZERO</v>
          </cell>
        </row>
        <row r="1999">
          <cell r="A1999">
            <v>3307</v>
          </cell>
          <cell r="B1999" t="str">
            <v>GÁS TÓXICO, OXIDANTE, LIQUEFEITO, N.E.</v>
          </cell>
          <cell r="C1999">
            <v>20</v>
          </cell>
          <cell r="D1999" t="str">
            <v>ZERO</v>
          </cell>
        </row>
        <row r="2000">
          <cell r="A2000">
            <v>3308</v>
          </cell>
          <cell r="B2000" t="str">
            <v>GÁS TÓXICO, CORROSIVO, LIQUEFEITO, N.E.</v>
          </cell>
          <cell r="C2000">
            <v>20</v>
          </cell>
          <cell r="D2000" t="str">
            <v>ZERO</v>
          </cell>
        </row>
        <row r="2001">
          <cell r="A2001">
            <v>3309</v>
          </cell>
          <cell r="B2001" t="str">
            <v>GÁS TÓXICO, INFLAMÁVEL, CORROSIVO, LIQUEFEITO, N.E.</v>
          </cell>
          <cell r="C2001">
            <v>20</v>
          </cell>
          <cell r="D2001" t="str">
            <v>ZERO</v>
          </cell>
        </row>
        <row r="2002">
          <cell r="A2002">
            <v>3310</v>
          </cell>
          <cell r="B2002" t="str">
            <v>GÁS TÓXICO, OXIDANTE, CORROSIVO, LIQUEFEITO, N.E.</v>
          </cell>
          <cell r="C2002">
            <v>20</v>
          </cell>
          <cell r="D2002" t="str">
            <v>ZERO</v>
          </cell>
        </row>
        <row r="2003">
          <cell r="A2003">
            <v>3311</v>
          </cell>
          <cell r="B2003" t="str">
            <v>GÁS OXIDANTE, LÍQUIDO REFRIGERADO, N.E.</v>
          </cell>
          <cell r="C2003">
            <v>1000</v>
          </cell>
          <cell r="D2003" t="str">
            <v>ZERO</v>
          </cell>
        </row>
        <row r="2004">
          <cell r="A2004">
            <v>3312</v>
          </cell>
          <cell r="B2004" t="str">
            <v>GÁS INFLAMÁVEL, LÍQUIDO REFRIGERADO, N.E.</v>
          </cell>
          <cell r="C2004">
            <v>333</v>
          </cell>
          <cell r="D2004" t="str">
            <v>ZERO</v>
          </cell>
        </row>
        <row r="2005">
          <cell r="A2005">
            <v>3313</v>
          </cell>
          <cell r="B2005" t="str">
            <v>PIGMENTOS ORGÂNICOS, SUJEITOS A AUTOAQUECIMENTO</v>
          </cell>
          <cell r="C2005">
            <v>333</v>
          </cell>
          <cell r="D2005" t="str">
            <v>ZERO</v>
          </cell>
        </row>
        <row r="2006">
          <cell r="A2006">
            <v>3314</v>
          </cell>
          <cell r="B2006" t="str">
            <v>COMPOSTO  PLÁSTICO  PARA  MOLDAGEM,  sob  forma  de  pasta,  folha  ou  corda  extrudada,  que  desprende  vapor</v>
          </cell>
        </row>
        <row r="2007">
          <cell r="A2007">
            <v>3315</v>
          </cell>
          <cell r="B2007" t="str">
            <v>AMOSTRA QUÍMICA, TÓXICA</v>
          </cell>
          <cell r="C2007">
            <v>20</v>
          </cell>
          <cell r="D2007" t="str">
            <v>ZERO</v>
          </cell>
        </row>
        <row r="2008">
          <cell r="A2008">
            <v>3316</v>
          </cell>
          <cell r="B2008" t="str">
            <v>ESTOJO QUÍMICO ou ESTOJO DE PRIMEIROS SOCORROS</v>
          </cell>
          <cell r="D2008" t="str">
            <v>ZERO</v>
          </cell>
        </row>
        <row r="2009">
          <cell r="A2009">
            <v>3317</v>
          </cell>
          <cell r="B2009" t="str">
            <v>2-AMINO-4,6 - DINITIROFENOL, UMEDECIDO com no mínimo, 20% de água, em massa</v>
          </cell>
          <cell r="C2009">
            <v>20</v>
          </cell>
          <cell r="D2009" t="str">
            <v>ZERO</v>
          </cell>
        </row>
        <row r="2010">
          <cell r="A2010">
            <v>3318</v>
          </cell>
          <cell r="B2010" t="str">
            <v>AMÔNIA, SOLUÇÃO aquosa, com densidade relativa inferior a 0,880 a 15ºC, com mais de 50% de amônia</v>
          </cell>
          <cell r="C2010">
            <v>20</v>
          </cell>
          <cell r="D2010" t="str">
            <v>ZERO</v>
          </cell>
        </row>
        <row r="2011">
          <cell r="A2011">
            <v>3319</v>
          </cell>
          <cell r="B2011" t="str">
            <v>MISTURA DE NITROGLICERINA, INSENSIBILIZADA, SÓLIDA, N.E. com mais de 2% e até 10% de nitroglicerina, em</v>
          </cell>
        </row>
        <row r="2012">
          <cell r="A2012">
            <v>3320</v>
          </cell>
          <cell r="B2012" t="str">
            <v>BORO-HIDRETO DE SÓDIO E HIDRÓXIDO DE SÓDIO SOLUÇÃO, com até 12% de boro-hidreto de sódio e até 40% de hidróxido de sódio, em massa</v>
          </cell>
          <cell r="C2012">
            <v>333</v>
          </cell>
          <cell r="D2012" t="str">
            <v>1 L</v>
          </cell>
        </row>
        <row r="2013">
          <cell r="A2013">
            <v>3321</v>
          </cell>
          <cell r="B2013" t="str">
            <v>MATERIAL RADIOATIVO, BAIXA ATIVIDADE ESPECÍFICA (BAE-II), não-físsil ou físsil exceptivo</v>
          </cell>
          <cell r="C2013" t="str">
            <v>ZERO</v>
          </cell>
          <cell r="D2013" t="str">
            <v>ZERO</v>
          </cell>
        </row>
        <row r="2014">
          <cell r="A2014">
            <v>3322</v>
          </cell>
          <cell r="B2014" t="str">
            <v>MATERIAL RADIOATIVO, BAIXA ATIVIDADE ESPECÍFICA (BAE-III), não-físsil ou físsil exceptivo</v>
          </cell>
          <cell r="C2014" t="str">
            <v>ZERO</v>
          </cell>
          <cell r="D2014" t="str">
            <v>ZERO</v>
          </cell>
        </row>
        <row r="2015">
          <cell r="A2015">
            <v>3323</v>
          </cell>
          <cell r="B2015" t="str">
            <v>MATERIAL RADIOATIVO, EM VOLUME TIPO C, não-físsil ou físsil exceptivo</v>
          </cell>
          <cell r="C2015" t="str">
            <v>ZERO</v>
          </cell>
          <cell r="D2015" t="str">
            <v>ZERO</v>
          </cell>
        </row>
        <row r="2016">
          <cell r="A2016">
            <v>3324</v>
          </cell>
          <cell r="B2016" t="str">
            <v>MATERIAL REDIOATIVO, BAIXA ATIVIDADE ESPECÍFICA (BAE-II) FÍSSIL</v>
          </cell>
          <cell r="C2016" t="str">
            <v>ZERO</v>
          </cell>
          <cell r="D2016" t="str">
            <v>ZERO</v>
          </cell>
        </row>
        <row r="2017">
          <cell r="A2017">
            <v>3325</v>
          </cell>
          <cell r="B2017" t="str">
            <v>MATERIAL RADIOATIVO, BAIXA ATIVIDADE ESPECÍFICA (BAE-III), FÍSSIL</v>
          </cell>
          <cell r="C2017" t="str">
            <v>ZERO</v>
          </cell>
          <cell r="D2017" t="str">
            <v>ZERO</v>
          </cell>
        </row>
        <row r="2018">
          <cell r="A2018">
            <v>3326</v>
          </cell>
          <cell r="B2018" t="str">
            <v>MATERIAL RADIOATIVO, OBJETOS CONTAMINADOS NA SUPERFÍCIE (OCS-I OU OCS-II), FÍSSIL</v>
          </cell>
          <cell r="C2018" t="str">
            <v>ZERO</v>
          </cell>
          <cell r="D2018" t="str">
            <v>ZERO</v>
          </cell>
        </row>
        <row r="2019">
          <cell r="A2019">
            <v>3327</v>
          </cell>
          <cell r="B2019" t="str">
            <v>MATERIAL RADIOATIVO, EM VOLUME TIPO A, FÍSSIL, não-sob forma especial</v>
          </cell>
          <cell r="C2019" t="str">
            <v>ZERO</v>
          </cell>
          <cell r="D2019" t="str">
            <v>ZERO</v>
          </cell>
        </row>
        <row r="2020">
          <cell r="A2020">
            <v>3328</v>
          </cell>
          <cell r="B2020" t="str">
            <v>MATERIAL RADIOATIVO, EM VOLUME TIPO B(U), FÍSSIL</v>
          </cell>
          <cell r="C2020" t="str">
            <v>ZERO</v>
          </cell>
          <cell r="D2020" t="str">
            <v>ZERO</v>
          </cell>
        </row>
        <row r="2021">
          <cell r="A2021">
            <v>3329</v>
          </cell>
          <cell r="B2021" t="str">
            <v>MATERIAL RADIOATIVO, EM VOLUME TIPO B(M), FÍSSIL</v>
          </cell>
          <cell r="C2021" t="str">
            <v>ZERO</v>
          </cell>
          <cell r="D2021" t="str">
            <v>ZERO</v>
          </cell>
        </row>
        <row r="2022">
          <cell r="A2022">
            <v>3330</v>
          </cell>
          <cell r="B2022" t="str">
            <v>MATERIAL RADIOATIVO, EM VOLUME TIPO C, FÍSSIL</v>
          </cell>
          <cell r="C2022" t="str">
            <v>ZERO</v>
          </cell>
          <cell r="D2022" t="str">
            <v>ZERO</v>
          </cell>
        </row>
        <row r="2023">
          <cell r="A2023">
            <v>3331</v>
          </cell>
          <cell r="B2023" t="str">
            <v>MATERIAL RADIOATIVO, TRANSPORTADO SOB ARANJO ESPECIAL, FÍSSIL</v>
          </cell>
          <cell r="C2023" t="str">
            <v>ZERO</v>
          </cell>
          <cell r="D2023" t="str">
            <v>ZERO</v>
          </cell>
        </row>
        <row r="2024">
          <cell r="A2024">
            <v>3332</v>
          </cell>
          <cell r="B2024" t="str">
            <v>MATERIAL RADIOATIVO, VOLUME TIPO A, TRANSPORTADO SOB FORMA ESPECIAL, não-físsil ou físsil exceptivo</v>
          </cell>
          <cell r="C2024" t="str">
            <v>ZERO</v>
          </cell>
          <cell r="D2024" t="str">
            <v>ZERO</v>
          </cell>
        </row>
        <row r="2025">
          <cell r="A2025">
            <v>3333</v>
          </cell>
          <cell r="B2025" t="str">
            <v>MATERIAL RADIOATIVO, EM VOLUME TIPO A, TRANSPORTADO SOB FORMA ESPECIAL, FÍSSIL</v>
          </cell>
          <cell r="C2025" t="str">
            <v>ZERO</v>
          </cell>
          <cell r="D2025" t="str">
            <v>ZERO</v>
          </cell>
        </row>
        <row r="2026">
          <cell r="A2026">
            <v>3334</v>
          </cell>
          <cell r="B2026" t="str">
            <v>LÍQUIDO REGULAMENTADO PARA AVIAÇÃO, N.E.</v>
          </cell>
          <cell r="C2026" t="str">
            <v>ZERO</v>
          </cell>
          <cell r="D2026" t="str">
            <v>ZERO</v>
          </cell>
        </row>
        <row r="2027">
          <cell r="A2027">
            <v>3335</v>
          </cell>
          <cell r="B2027" t="str">
            <v>SÓLIDO REGULAMENTADO PARA AVIAÇÃO, N.E.</v>
          </cell>
          <cell r="C2027" t="str">
            <v>ZERO</v>
          </cell>
          <cell r="D2027" t="str">
            <v>ZERO</v>
          </cell>
        </row>
        <row r="2028">
          <cell r="A2028">
            <v>3336</v>
          </cell>
          <cell r="B2028" t="str">
            <v>MERCAPTANAS, INFLAMÁVEIS, LÍQUIDAS, N.E., ou MISTURA DE MERCAPTANA, INFLAMÁVEL, LÍQUIDA, N.E.</v>
          </cell>
          <cell r="C2028">
            <v>20</v>
          </cell>
          <cell r="D2028" t="str">
            <v>1 L</v>
          </cell>
        </row>
        <row r="2029">
          <cell r="A2029">
            <v>3337</v>
          </cell>
          <cell r="B2029" t="str">
            <v>GÁS REFRIGERANTE R 404 A</v>
          </cell>
          <cell r="C2029">
            <v>1000</v>
          </cell>
          <cell r="D2029" t="str">
            <v>120 ml</v>
          </cell>
        </row>
        <row r="2030">
          <cell r="A2030">
            <v>3338</v>
          </cell>
          <cell r="B2030" t="str">
            <v>GÁS REFRIGERANTE R 407 A</v>
          </cell>
          <cell r="C2030">
            <v>1000</v>
          </cell>
          <cell r="D2030" t="str">
            <v>120 ml</v>
          </cell>
        </row>
        <row r="2031">
          <cell r="A2031">
            <v>3339</v>
          </cell>
          <cell r="B2031" t="str">
            <v>GÁS REFRIGERANTE R 407 B</v>
          </cell>
          <cell r="C2031">
            <v>1000</v>
          </cell>
          <cell r="D2031" t="str">
            <v>120 ml</v>
          </cell>
        </row>
        <row r="2032">
          <cell r="A2032">
            <v>3340</v>
          </cell>
          <cell r="B2032" t="str">
            <v>GÁS REFRIGERANTE R 407 C</v>
          </cell>
          <cell r="C2032">
            <v>1000</v>
          </cell>
          <cell r="D2032" t="str">
            <v>120 ml</v>
          </cell>
        </row>
        <row r="2033">
          <cell r="A2033">
            <v>3341</v>
          </cell>
          <cell r="B2033" t="str">
            <v>DIÓXIDO DE TIOURÉIA</v>
          </cell>
          <cell r="C2033">
            <v>333</v>
          </cell>
          <cell r="D2033" t="str">
            <v>ZERO</v>
          </cell>
        </row>
        <row r="2034">
          <cell r="A2034">
            <v>3342</v>
          </cell>
          <cell r="B2034" t="str">
            <v>XANTATOS</v>
          </cell>
          <cell r="C2034">
            <v>333</v>
          </cell>
          <cell r="D2034" t="str">
            <v>ZERO</v>
          </cell>
        </row>
        <row r="2035">
          <cell r="A2035">
            <v>3343</v>
          </cell>
          <cell r="B2035" t="str">
            <v>MISTURA DE NITROGLICERINA, INFLAMÁVEL, INSENSIBILIZADA, LÍQUIDA, N.E., com até 30% de nitroglicerina,</v>
          </cell>
        </row>
        <row r="2036">
          <cell r="A2036">
            <v>3344</v>
          </cell>
          <cell r="B2036" t="str">
            <v>TETRANITRATO      DE      PENTAERITRINA      (TETRANITRATO      DE      PENTAERITROL</v>
          </cell>
        </row>
        <row r="2037">
          <cell r="A2037">
            <v>3345</v>
          </cell>
          <cell r="B2037" t="str">
            <v>PESTICIDA Á BASE DE DERIVADOS DO ÁCIDO FENOXIACÉTICO, TÓXICO, SÓLIDO</v>
          </cell>
          <cell r="C2037">
            <v>20</v>
          </cell>
          <cell r="D2037" t="str">
            <v>5 kg</v>
          </cell>
        </row>
        <row r="2038">
          <cell r="A2038">
            <v>3346</v>
          </cell>
          <cell r="B2038" t="str">
            <v>PESTICIDA  Á  BASE  DE  DERIVADOS DO  ÁCIDO  FENOXIACÉTICO,  INFLAMÁVEL,  TÓXICO,  LÍQUIDO  com PFg</v>
          </cell>
        </row>
        <row r="2039">
          <cell r="A2039">
            <v>3347</v>
          </cell>
          <cell r="B2039" t="str">
            <v>PESTICIDA  Á  BASE  DE  DERIVADOS DO  ÁCIDO  FENOXIACÉTICO,  TÓXICO,  INFLAMÁVEL,  LÍQUIDO  com PFg</v>
          </cell>
        </row>
        <row r="2040">
          <cell r="A2040">
            <v>3348</v>
          </cell>
          <cell r="B2040" t="str">
            <v>PESTICIDA Á BASE DE DERIVADOS DO ÁCIDO FENOXIACÉTICO, TÓXICO, LÍQUIDO</v>
          </cell>
          <cell r="C2040">
            <v>20</v>
          </cell>
          <cell r="D2040" t="str">
            <v>100 ml</v>
          </cell>
        </row>
        <row r="2041">
          <cell r="A2041">
            <v>3349</v>
          </cell>
          <cell r="B2041" t="str">
            <v>PESTICIDA Á BASE DE PIRETRÓIDE, TÓXICO, SÓLIDO</v>
          </cell>
          <cell r="C2041">
            <v>20</v>
          </cell>
          <cell r="D2041" t="str">
            <v>5 kg</v>
          </cell>
        </row>
        <row r="2042">
          <cell r="A2042">
            <v>3350</v>
          </cell>
          <cell r="B2042" t="str">
            <v>PESTICIDA Á BASE DE PIRETRÓIDE, INFLAMÁVEL, TÓXICO, LÍQUIDO com ponto de fulgor inferior a 23ºC</v>
          </cell>
          <cell r="C2042">
            <v>20</v>
          </cell>
          <cell r="D2042" t="str">
            <v>1 L</v>
          </cell>
        </row>
        <row r="2043">
          <cell r="A2043">
            <v>3351</v>
          </cell>
          <cell r="B2043" t="str">
            <v>PESTICIDA Á BASE DE PIRETRÓIDE, TÓXICO, INFLAMÁVEL, LÍQUIDO com PFg igual ou superior a 23ºC</v>
          </cell>
          <cell r="C2043">
            <v>20</v>
          </cell>
          <cell r="D2043" t="str">
            <v>100 ml</v>
          </cell>
        </row>
        <row r="2044">
          <cell r="A2044">
            <v>3352</v>
          </cell>
          <cell r="B2044" t="str">
            <v>PESTICIDA Á BASE DE PIRETRÓIDE, TÓXICO, LÍQUIDO</v>
          </cell>
          <cell r="C2044">
            <v>20</v>
          </cell>
          <cell r="D2044" t="str">
            <v>100 ml</v>
          </cell>
        </row>
        <row r="2045">
          <cell r="A2045">
            <v>3354</v>
          </cell>
          <cell r="B2045" t="str">
            <v>INSETICIDA INFLAMÁVEL, GASOSO, N.E.</v>
          </cell>
          <cell r="C2045">
            <v>333</v>
          </cell>
          <cell r="D2045" t="str">
            <v>ZERO</v>
          </cell>
        </row>
        <row r="2046">
          <cell r="A2046">
            <v>3355</v>
          </cell>
          <cell r="B2046" t="str">
            <v>INSETICIDA, TÓXICO, INFLAMÁVEL, GASOSO, N.E.</v>
          </cell>
          <cell r="C2046">
            <v>20</v>
          </cell>
          <cell r="D2046" t="str">
            <v>ZERO</v>
          </cell>
        </row>
        <row r="2047">
          <cell r="A2047">
            <v>3356</v>
          </cell>
          <cell r="B2047" t="str">
            <v>GERADOR DE OXIGÊNIO, QUÍMICO †</v>
          </cell>
          <cell r="C2047">
            <v>333</v>
          </cell>
          <cell r="D2047" t="str">
            <v>ZERO</v>
          </cell>
        </row>
        <row r="2048">
          <cell r="A2048">
            <v>3357</v>
          </cell>
          <cell r="B2048" t="str">
            <v>MISTURA DE NITROGLICERINA, INSENSIBILIZADA, LÍQUIDA, N.E., com até 30% de nitroglicerina, em massa</v>
          </cell>
          <cell r="C2048">
            <v>333</v>
          </cell>
          <cell r="D2048" t="str">
            <v>ZERO</v>
          </cell>
        </row>
        <row r="2049">
          <cell r="A2049">
            <v>3358</v>
          </cell>
          <cell r="B2049" t="str">
            <v>MÁQUINAS DE REFRIGERAÇÃO contendo gás liquefeito, inflamável, não-tóxico</v>
          </cell>
          <cell r="C2049">
            <v>333</v>
          </cell>
          <cell r="D2049" t="str">
            <v>ZERO</v>
          </cell>
        </row>
        <row r="2050">
          <cell r="A2050">
            <v>3359</v>
          </cell>
          <cell r="B2050" t="str">
            <v>VEÍCULO SOB FUMIGAÇÃO ou EQUIPAMENTO DE TRANSPORTE SOB FUMIGAÇÃO</v>
          </cell>
          <cell r="C2050">
            <v>333</v>
          </cell>
          <cell r="D2050" t="str">
            <v>ZERO</v>
          </cell>
        </row>
        <row r="2051">
          <cell r="A2051">
            <v>3360</v>
          </cell>
          <cell r="B2051" t="str">
            <v>FIBRAS VEGETAIS, SECAS</v>
          </cell>
          <cell r="C2051">
            <v>333</v>
          </cell>
          <cell r="D2051" t="str">
            <v>ZERO</v>
          </cell>
        </row>
        <row r="2052">
          <cell r="A2052">
            <v>3361</v>
          </cell>
          <cell r="B2052" t="str">
            <v>CLOROSILANOS, TÓXICO, CORROSIVO, N.E.</v>
          </cell>
          <cell r="C2052">
            <v>333</v>
          </cell>
          <cell r="D2052" t="str">
            <v>ZERO</v>
          </cell>
        </row>
        <row r="2053">
          <cell r="A2053">
            <v>3362</v>
          </cell>
          <cell r="B2053" t="str">
            <v>CLOROSILANOS, TÓXICO, CORROSIVO, INFLAMÁVEL, N.E.</v>
          </cell>
          <cell r="C2053">
            <v>333</v>
          </cell>
          <cell r="D2053" t="str">
            <v>ZERO</v>
          </cell>
        </row>
        <row r="2054">
          <cell r="A2054">
            <v>3363</v>
          </cell>
          <cell r="B2054" t="str">
            <v>PRODUTOS PERIGOSOS EM MAQUINARIA ou PRODUTOS PERIGOSOS EM APARELHOS</v>
          </cell>
          <cell r="C2054">
            <v>333</v>
          </cell>
          <cell r="D2054" t="str">
            <v>ZERO</v>
          </cell>
        </row>
        <row r="2055">
          <cell r="A2055">
            <v>3364</v>
          </cell>
          <cell r="B2055" t="str">
            <v>TRINITROFENOL (ÁCIDO PÍCRICO) UMEDECIDO, com teor de água igual ou superior a 10% em massa</v>
          </cell>
          <cell r="C2055">
            <v>20</v>
          </cell>
          <cell r="D2055" t="str">
            <v>ZERO</v>
          </cell>
        </row>
        <row r="2056">
          <cell r="A2056">
            <v>3365</v>
          </cell>
          <cell r="B2056" t="str">
            <v>TRINITROCLOROBENZENO  (CLORETO  DE  PICRILA),  UMEDECIDO,  com teor  de  água  igual ou  superior a  10% em massa</v>
          </cell>
          <cell r="C2056">
            <v>20</v>
          </cell>
          <cell r="D2056" t="str">
            <v>ZERO</v>
          </cell>
        </row>
        <row r="2057">
          <cell r="A2057">
            <v>3366</v>
          </cell>
          <cell r="B2057" t="str">
            <v>TRINITROTOLUENO (TNT), UMEDECIDO, com teor de água igual ou superior a 10%, em massa</v>
          </cell>
          <cell r="C2057">
            <v>20</v>
          </cell>
          <cell r="D2057" t="str">
            <v>ZERO</v>
          </cell>
        </row>
        <row r="2058">
          <cell r="A2058">
            <v>3367</v>
          </cell>
          <cell r="B2058" t="str">
            <v>TRINITROBENZENO, UMEDECIDO, com teor de água igual ou superior a 10%, em massa</v>
          </cell>
          <cell r="C2058">
            <v>20</v>
          </cell>
          <cell r="D2058" t="str">
            <v>ZERO</v>
          </cell>
        </row>
        <row r="2059">
          <cell r="A2059">
            <v>3368</v>
          </cell>
          <cell r="B2059" t="str">
            <v>ÁCIDO TRINITROBENZÓICO, UMEDECIDO, com teor de água igual ou superior a 10%, em massa</v>
          </cell>
          <cell r="C2059">
            <v>20</v>
          </cell>
          <cell r="D2059" t="str">
            <v>ZERO</v>
          </cell>
        </row>
        <row r="2060">
          <cell r="A2060">
            <v>3369</v>
          </cell>
          <cell r="B2060" t="str">
            <v>DINITRO-o-CRESOLATO DE SÓDIO, UMEDECIDO, com teor de água igual ou superior a 10%, em massa</v>
          </cell>
          <cell r="C2060">
            <v>20</v>
          </cell>
          <cell r="D2060" t="str">
            <v>ZERO</v>
          </cell>
        </row>
        <row r="2061">
          <cell r="A2061">
            <v>3370</v>
          </cell>
          <cell r="B2061" t="str">
            <v>NITRATO DE URÉIA, UMEDECIDO, com teor de água igual ou superior a 10%, em massa</v>
          </cell>
          <cell r="C2061">
            <v>20</v>
          </cell>
          <cell r="D2061" t="str">
            <v>ZERO</v>
          </cell>
        </row>
        <row r="2062">
          <cell r="A2062">
            <v>3371</v>
          </cell>
          <cell r="B2062" t="str">
            <v>2-METILBUTANAL</v>
          </cell>
          <cell r="C2062">
            <v>333</v>
          </cell>
          <cell r="D2062" t="str">
            <v>1 L</v>
          </cell>
        </row>
        <row r="2063">
          <cell r="A2063">
            <v>3373</v>
          </cell>
          <cell r="B2063" t="str">
            <v>2-METILBUTANAL</v>
          </cell>
          <cell r="C2063" t="str">
            <v>ZERO</v>
          </cell>
          <cell r="D2063" t="str">
            <v>ZERO</v>
          </cell>
        </row>
        <row r="2064">
          <cell r="A2064">
            <v>3374</v>
          </cell>
          <cell r="B2064" t="str">
            <v>ACETILENO, LIVRE DE SOLVENTE</v>
          </cell>
          <cell r="C2064">
            <v>333</v>
          </cell>
          <cell r="D2064" t="str">
            <v>ZERO</v>
          </cell>
        </row>
        <row r="2065">
          <cell r="A2065">
            <v>3375</v>
          </cell>
          <cell r="B2065" t="str">
            <v>NITRATO DE AMÔNIO, EMULSÃO ou SUSPENSÃO ou GEL, explosivos intermediários para detonantes</v>
          </cell>
          <cell r="C2065">
            <v>333</v>
          </cell>
          <cell r="D2065" t="str">
            <v>ZERO</v>
          </cell>
        </row>
        <row r="2066">
          <cell r="A2066">
            <v>3376</v>
          </cell>
          <cell r="B2066" t="str">
            <v>4-NITROFENILHIDRAZINA, com até de 30% de água, em massa</v>
          </cell>
          <cell r="C2066">
            <v>20</v>
          </cell>
          <cell r="D2066" t="str">
            <v>ZERO</v>
          </cell>
        </row>
        <row r="2067">
          <cell r="A2067">
            <v>3377</v>
          </cell>
          <cell r="B2067" t="str">
            <v>PERBORATO DE SÓDIO MONOHIDRATADO</v>
          </cell>
          <cell r="C2067">
            <v>1000</v>
          </cell>
          <cell r="D2067" t="str">
            <v>5 kg</v>
          </cell>
        </row>
        <row r="2068">
          <cell r="A2068">
            <v>3378</v>
          </cell>
          <cell r="B2068" t="str">
            <v>CARBONATO DE SÓDIO PEROXI-HIDRATADO</v>
          </cell>
          <cell r="C2068">
            <v>333</v>
          </cell>
          <cell r="D2068" t="str">
            <v>1 kg</v>
          </cell>
        </row>
        <row r="2069">
          <cell r="A2069">
            <v>3379</v>
          </cell>
          <cell r="B2069" t="str">
            <v>LÍQUIDO EXPLOSIVO INSENSIBILIZADO, N.E.</v>
          </cell>
          <cell r="C2069">
            <v>1000</v>
          </cell>
          <cell r="D2069" t="str">
            <v>ZERO</v>
          </cell>
        </row>
        <row r="2070">
          <cell r="A2070">
            <v>3380</v>
          </cell>
          <cell r="B2070" t="str">
            <v>SÓLIDO EXPLOSIVO INSENSIBILIZADO, N.E.</v>
          </cell>
          <cell r="C2070">
            <v>1000</v>
          </cell>
          <cell r="D2070" t="str">
            <v>ZERO</v>
          </cell>
        </row>
        <row r="2071">
          <cell r="A2071">
            <v>3381</v>
          </cell>
          <cell r="B2071" t="str">
            <v>LÍQUIDO  TÓXICO À  INALAÇÃO, N.E.  com toxicidade  à inalação  inferior ou  igual a  200 ml/m³  e com concentração de vapor saturado superior ou igual a 500 CL50</v>
          </cell>
          <cell r="C2071">
            <v>20</v>
          </cell>
          <cell r="D2071" t="str">
            <v>ZERO</v>
          </cell>
        </row>
        <row r="2072">
          <cell r="A2072">
            <v>3382</v>
          </cell>
          <cell r="B2072" t="str">
            <v>LÍQUIDO TÓXICO À INALAÇÃO, N.E. com toxicidade à inalação inferior ou igual a 1000 ml/m³ e com concentração de vapor saturado superior ou igual a 10 CL50</v>
          </cell>
          <cell r="C2072">
            <v>20</v>
          </cell>
          <cell r="D2072" t="str">
            <v>ZERO</v>
          </cell>
        </row>
        <row r="2073">
          <cell r="A2073">
            <v>3383</v>
          </cell>
          <cell r="B2073" t="str">
            <v>LÍQUIDO  TÓXICO  À INALAÇÃO,  INFLAMÁVEL, N.E.  com toxicidade  à inalação  inferior ou  igual a  200 ml/m³  e com concentração de vapor saturado superior ou igual a 500 CL50</v>
          </cell>
          <cell r="C2073">
            <v>20</v>
          </cell>
          <cell r="D2073" t="str">
            <v>ZERO</v>
          </cell>
        </row>
        <row r="2074">
          <cell r="A2074">
            <v>3384</v>
          </cell>
          <cell r="B2074" t="str">
            <v>concentração de vapor saturado superior ou igual a 10 CL50</v>
          </cell>
          <cell r="C2074">
            <v>20</v>
          </cell>
          <cell r="D2074" t="str">
            <v>ZERO</v>
          </cell>
        </row>
        <row r="2075">
          <cell r="A2075">
            <v>3384</v>
          </cell>
          <cell r="B2075" t="str">
            <v>LÍQUIDO TÓXICO À INALAÇÃO, INFLAMÁVEL, N.E. com toxicidade à inalação inferior ou igual a 1000 ml/m³ e com</v>
          </cell>
          <cell r="C2075">
            <v>20</v>
          </cell>
          <cell r="D2075" t="str">
            <v>ZERO</v>
          </cell>
        </row>
        <row r="2076">
          <cell r="A2076">
            <v>3385</v>
          </cell>
          <cell r="B2076" t="str">
            <v>LÍQUIDO  TÓXICO  À  INALAÇÃO,  QUE  REAGE  COM  ÁGUA,  N.E.  com  toxicidade  à  inalação  inferior  ou  igual  a  200 ml/m³ e com concentração de vapor saturado superior ou igual a 500 CL50</v>
          </cell>
          <cell r="C2076">
            <v>20</v>
          </cell>
          <cell r="D2076" t="str">
            <v>ZERO</v>
          </cell>
        </row>
        <row r="2077">
          <cell r="A2077">
            <v>3386</v>
          </cell>
          <cell r="B2077" t="str">
            <v>LÍQUIDO  TÓXICO  À  INALAÇÃO,  QUE REAGE  COM ÁGUA,  N.E. com toxicidade à  inalação inferior  ou igual a 1000 ml/m³ e com concentração de vapor saturado superior ou igual a 10 CL50</v>
          </cell>
          <cell r="C2077">
            <v>20</v>
          </cell>
          <cell r="D2077" t="str">
            <v>ZERO</v>
          </cell>
        </row>
        <row r="2078">
          <cell r="A2078">
            <v>3387</v>
          </cell>
          <cell r="B2078" t="str">
            <v>LÍQUIDO  TÓXICO  À  INALAÇÃO,  OXIDANTE,  N.E.  com  toxicidade  à  inalação  inferior  ou  igual  a  200  ml/m³  e  com concentração de vapor saturado superior ou igual a 500 CL50</v>
          </cell>
          <cell r="C2078">
            <v>20</v>
          </cell>
          <cell r="D2078" t="str">
            <v>ZERO</v>
          </cell>
        </row>
        <row r="2079">
          <cell r="A2079">
            <v>3388</v>
          </cell>
          <cell r="B2079" t="str">
            <v>LÍQUIDO  TÓXICO  À  INALAÇÃO,  OXIDANTE,  N.E.  com  toxicidade  à  inalação  inferior  ou  igual a  1000  ml/m³  e  com concentração de vapor saturado superior ou igual a 10 CL50</v>
          </cell>
          <cell r="C2079">
            <v>20</v>
          </cell>
          <cell r="D2079" t="str">
            <v>ZERO</v>
          </cell>
        </row>
        <row r="2080">
          <cell r="A2080">
            <v>3389</v>
          </cell>
          <cell r="B2080" t="str">
            <v>LÍQUIDO  TÓXICO  À  INALAÇÃO,  CORROSIVO,  N.E.  com toxicidade  à  inalação  inferior  ou  igual a  200  ml/m³  e  com concentração de vapor saturado superior ou igual a 500 CL50</v>
          </cell>
          <cell r="C2080">
            <v>20</v>
          </cell>
          <cell r="D2080" t="str">
            <v>ZERO</v>
          </cell>
        </row>
        <row r="2081">
          <cell r="A2081">
            <v>3390</v>
          </cell>
          <cell r="B2081" t="str">
            <v>LÍQUIDO  TÓXICO  À  INALAÇÃO,  CORROSIVO,  N.E.  com toxicidade  à  inalação  inferior  ou  igual a  1000  ml/m³  e com concentração de vapor saturado superior ou igual a 10 CL50</v>
          </cell>
          <cell r="C2081">
            <v>20</v>
          </cell>
          <cell r="D2081" t="str">
            <v>ZERO</v>
          </cell>
        </row>
        <row r="2082">
          <cell r="A2082">
            <v>3391</v>
          </cell>
          <cell r="B2082" t="str">
            <v>SUBSTÂNCIA ORGANOMETÁLICA, PIROFÓRICA, SÓLIDA</v>
          </cell>
          <cell r="C2082" t="str">
            <v>ZERO</v>
          </cell>
          <cell r="D2082" t="str">
            <v>ZERO</v>
          </cell>
        </row>
        <row r="2083">
          <cell r="A2083">
            <v>3392</v>
          </cell>
          <cell r="B2083" t="str">
            <v>SUBSTÂNCIA ORGANOMETÁLICA, PIROFÓRICA, LÍQUIDA</v>
          </cell>
          <cell r="C2083" t="str">
            <v>ZERO</v>
          </cell>
          <cell r="D2083" t="str">
            <v>ZERO</v>
          </cell>
        </row>
        <row r="2084">
          <cell r="A2084">
            <v>3393</v>
          </cell>
          <cell r="B2084" t="str">
            <v>SUBSTÂNCIA ORGANOMETÁLICA, PIROFÓRICA, QUE REAGE COM ÁGUA, SÓLIDA</v>
          </cell>
          <cell r="C2084" t="str">
            <v>ZERO</v>
          </cell>
          <cell r="D2084" t="str">
            <v>ZERO</v>
          </cell>
        </row>
        <row r="2085">
          <cell r="A2085">
            <v>3394</v>
          </cell>
          <cell r="B2085" t="str">
            <v>SUBSTÂNCIA ORGANOMETÁLICA, PIROFÓRICA, QUE REAGE COM ÁGUA, LÍQUIDA</v>
          </cell>
          <cell r="C2085" t="str">
            <v>ZERO</v>
          </cell>
          <cell r="D2085" t="str">
            <v>ZERO</v>
          </cell>
        </row>
        <row r="2086">
          <cell r="A2086">
            <v>3395</v>
          </cell>
          <cell r="B2086" t="str">
            <v>SUBSTÂNCIA ORGANOMETÁLICA, QUE REAGE COM ÁGUA, SÓLIDA</v>
          </cell>
          <cell r="C2086">
            <v>20</v>
          </cell>
          <cell r="D2086" t="str">
            <v>1 kg</v>
          </cell>
        </row>
        <row r="2087">
          <cell r="A2087">
            <v>3396</v>
          </cell>
          <cell r="B2087" t="str">
            <v>SUBSTÂNCIA ORGANOMETÁLICA, QUE REAGE COM ÁGUA, INFLAMÁVEL, SÓLIDA</v>
          </cell>
          <cell r="C2087" t="str">
            <v>ZERO</v>
          </cell>
          <cell r="D2087" t="str">
            <v>1 kg</v>
          </cell>
        </row>
        <row r="2088">
          <cell r="A2088">
            <v>3397</v>
          </cell>
          <cell r="B2088" t="str">
            <v>SUBSTÂNCIA ORGANOMETÁLICA, QUE REAGE COM ÁGUA, SUJEITA A AUTOAQUECIMENTO, SÓLIDA</v>
          </cell>
          <cell r="C2088">
            <v>20</v>
          </cell>
          <cell r="D2088" t="str">
            <v>1 kg</v>
          </cell>
        </row>
        <row r="2089">
          <cell r="A2089">
            <v>3398</v>
          </cell>
          <cell r="B2089" t="str">
            <v>SUBSTÂNCIA ORGANOMETÁLICA, QUE REAGE COM ÁGUA, LÍQUIDA</v>
          </cell>
          <cell r="C2089" t="str">
            <v>ZERO</v>
          </cell>
          <cell r="D2089" t="str">
            <v>1 L</v>
          </cell>
        </row>
        <row r="2090">
          <cell r="A2090">
            <v>3399</v>
          </cell>
          <cell r="B2090" t="str">
            <v>SUBSTÂNCIA ORGANOMETÁLICA, QUE REAGE COM ÁGUA, INFLAMÁVEL, LÍQUIDA</v>
          </cell>
          <cell r="C2090" t="str">
            <v>ZERO</v>
          </cell>
          <cell r="D2090" t="str">
            <v>1 L</v>
          </cell>
        </row>
        <row r="2091">
          <cell r="A2091">
            <v>3400</v>
          </cell>
          <cell r="B2091" t="str">
            <v>SUBSTÂNCIA ORGANOMETÁLICA, SUJEITA A AUTOAQUECIMENTO, SÓLIDA</v>
          </cell>
          <cell r="C2091">
            <v>333</v>
          </cell>
          <cell r="D2091" t="str">
            <v>1 kg</v>
          </cell>
        </row>
        <row r="2092">
          <cell r="A2092">
            <v>3401</v>
          </cell>
          <cell r="B2092" t="str">
            <v>AMALGAMA DE METAIS ALCALINOS, SÓLIDA</v>
          </cell>
          <cell r="C2092">
            <v>20</v>
          </cell>
          <cell r="D2092" t="str">
            <v>ZERO</v>
          </cell>
        </row>
        <row r="2093">
          <cell r="A2093">
            <v>3402</v>
          </cell>
          <cell r="B2093" t="str">
            <v>AMALGAMA DE METAIS ALCALINO-TERROSOS, SÓLIDA</v>
          </cell>
          <cell r="C2093">
            <v>20</v>
          </cell>
          <cell r="D2093" t="str">
            <v>ZERO</v>
          </cell>
        </row>
        <row r="2094">
          <cell r="A2094">
            <v>3403</v>
          </cell>
          <cell r="B2094" t="str">
            <v>LIGAS METÁLICAS DE POTÁSSIO, SÓLIDAS</v>
          </cell>
          <cell r="C2094">
            <v>20</v>
          </cell>
          <cell r="D2094" t="str">
            <v>ZERO</v>
          </cell>
        </row>
        <row r="2095">
          <cell r="A2095">
            <v>3404</v>
          </cell>
          <cell r="B2095" t="str">
            <v>LIGAS DE POTÁSSIO E SÓDIO, SÓLIDAS</v>
          </cell>
          <cell r="C2095">
            <v>20</v>
          </cell>
          <cell r="D2095" t="str">
            <v>ZERO</v>
          </cell>
        </row>
        <row r="2096">
          <cell r="A2096">
            <v>3405</v>
          </cell>
          <cell r="B2096" t="str">
            <v>CLORATO DE BÁRIO, SOLUÇÃO</v>
          </cell>
          <cell r="C2096">
            <v>333</v>
          </cell>
          <cell r="D2096" t="str">
            <v>1 L</v>
          </cell>
        </row>
        <row r="2097">
          <cell r="A2097">
            <v>3406</v>
          </cell>
          <cell r="B2097" t="str">
            <v>PERCLORATO DE BÁRIO EM SOLUÇÃO</v>
          </cell>
          <cell r="C2097">
            <v>333</v>
          </cell>
          <cell r="D2097" t="str">
            <v>1 L</v>
          </cell>
        </row>
        <row r="2098">
          <cell r="A2098">
            <v>3407</v>
          </cell>
          <cell r="B2098" t="str">
            <v>MISTURA DE CLORATO E CLORETO DE MAGNÉSIO EM SOLUÇÃO</v>
          </cell>
          <cell r="C2098">
            <v>333</v>
          </cell>
          <cell r="D2098" t="str">
            <v>1 L</v>
          </cell>
        </row>
        <row r="2099">
          <cell r="A2099">
            <v>3408</v>
          </cell>
          <cell r="B2099" t="str">
            <v>PERCLORATO DE CHUMBO SOLUÇÃO</v>
          </cell>
          <cell r="C2099">
            <v>333</v>
          </cell>
          <cell r="D2099" t="str">
            <v>1 L</v>
          </cell>
        </row>
        <row r="2100">
          <cell r="A2100">
            <v>3409</v>
          </cell>
          <cell r="B2100" t="str">
            <v>CLORONITROBENZENOS, LÍQUIDOS</v>
          </cell>
          <cell r="C2100">
            <v>333</v>
          </cell>
          <cell r="D2100" t="str">
            <v>100 ml</v>
          </cell>
        </row>
        <row r="2101">
          <cell r="A2101">
            <v>3410</v>
          </cell>
          <cell r="B2101" t="str">
            <v>HIDROCLORETO DE 4-CLORO-o-TOLUIDINA SOLUÇÃO</v>
          </cell>
          <cell r="C2101">
            <v>333</v>
          </cell>
          <cell r="D2101" t="str">
            <v>5 L</v>
          </cell>
        </row>
        <row r="2102">
          <cell r="A2102">
            <v>3411</v>
          </cell>
          <cell r="B2102" t="str">
            <v>beta-NAFTILAMINA SOLUÇÃO</v>
          </cell>
          <cell r="C2102">
            <v>333</v>
          </cell>
          <cell r="D2102" t="str">
            <v>100 ml</v>
          </cell>
        </row>
        <row r="2103">
          <cell r="A2103">
            <v>3412</v>
          </cell>
          <cell r="B2103" t="str">
            <v>ÁCIDO FÓRMICO com no mínimo 10% e no máximo 85% de ácido, em massa</v>
          </cell>
          <cell r="C2103">
            <v>333</v>
          </cell>
          <cell r="D2103" t="str">
            <v>1 L</v>
          </cell>
        </row>
        <row r="2104">
          <cell r="A2104">
            <v>3412</v>
          </cell>
          <cell r="B2104" t="str">
            <v>ÁCIDO FÓRMICO com no mínimo 5% e com menos de 10% de ácido, em massa</v>
          </cell>
          <cell r="C2104">
            <v>1000</v>
          </cell>
          <cell r="D2104" t="str">
            <v>5 L</v>
          </cell>
        </row>
        <row r="2105">
          <cell r="A2105">
            <v>3413</v>
          </cell>
          <cell r="B2105" t="str">
            <v>CIANETO DE POTÁSSIO SOLUÇÃO</v>
          </cell>
          <cell r="C2105">
            <v>20</v>
          </cell>
          <cell r="D2105" t="str">
            <v>100 ml</v>
          </cell>
        </row>
        <row r="2106">
          <cell r="A2106">
            <v>3414</v>
          </cell>
          <cell r="B2106" t="str">
            <v>CIANETO DE SÓDIO SOLUÇÃO</v>
          </cell>
          <cell r="C2106">
            <v>20</v>
          </cell>
          <cell r="D2106" t="str">
            <v>100 ml</v>
          </cell>
        </row>
        <row r="2107">
          <cell r="A2107">
            <v>3415</v>
          </cell>
          <cell r="B2107" t="str">
            <v>FLUORETO DE SÓDIO SOLUÇÃO</v>
          </cell>
          <cell r="C2107">
            <v>333</v>
          </cell>
          <cell r="D2107" t="str">
            <v>5 L</v>
          </cell>
        </row>
        <row r="2108">
          <cell r="A2108">
            <v>3416</v>
          </cell>
          <cell r="B2108" t="str">
            <v>CLOROACETOFENONA, LÍQUIDA</v>
          </cell>
          <cell r="C2108">
            <v>333</v>
          </cell>
          <cell r="D2108" t="str">
            <v>ZERO</v>
          </cell>
        </row>
        <row r="2109">
          <cell r="A2109">
            <v>3417</v>
          </cell>
          <cell r="B2109" t="str">
            <v>BROMETO DE XILILO, SÓLIDO</v>
          </cell>
          <cell r="C2109">
            <v>333</v>
          </cell>
          <cell r="D2109" t="str">
            <v>ZERO</v>
          </cell>
        </row>
        <row r="2110">
          <cell r="A2110">
            <v>3418</v>
          </cell>
          <cell r="B2110" t="str">
            <v>2,4-TOLUILENODIAMINA EM SOLUÇÃO</v>
          </cell>
          <cell r="C2110">
            <v>333</v>
          </cell>
          <cell r="D2110" t="str">
            <v>5 L</v>
          </cell>
        </row>
        <row r="2111">
          <cell r="A2111">
            <v>3419</v>
          </cell>
          <cell r="B2111" t="str">
            <v>COMPLEXO DE TRIFLUORETO DE BORO E DE ÁCIDO ACÉTICO, SÓLIDO</v>
          </cell>
          <cell r="C2111">
            <v>333</v>
          </cell>
          <cell r="D2111" t="str">
            <v>1 kg</v>
          </cell>
        </row>
        <row r="2112">
          <cell r="A2112">
            <v>3420</v>
          </cell>
          <cell r="B2112" t="str">
            <v>COMPLEXO DE TRIFLUORETO DE BORO E DE ÁCIDO PROPIÔNICO, SÓLIDO</v>
          </cell>
          <cell r="C2112">
            <v>333</v>
          </cell>
          <cell r="D2112" t="str">
            <v>1 kg</v>
          </cell>
        </row>
        <row r="2113">
          <cell r="A2113">
            <v>3421</v>
          </cell>
          <cell r="B2113" t="str">
            <v>HIDROGENODIFLUORETO DE POTÁSSIO SOLUÇÃO</v>
          </cell>
          <cell r="C2113">
            <v>333</v>
          </cell>
          <cell r="D2113" t="str">
            <v>1 L</v>
          </cell>
        </row>
        <row r="2114">
          <cell r="A2114">
            <v>3422</v>
          </cell>
          <cell r="B2114" t="str">
            <v>FLUORETO DE POTÁSSIO SOLUÇÃO</v>
          </cell>
          <cell r="C2114">
            <v>333</v>
          </cell>
          <cell r="D2114" t="str">
            <v>5 L</v>
          </cell>
        </row>
        <row r="2115">
          <cell r="A2115">
            <v>3423</v>
          </cell>
          <cell r="B2115" t="str">
            <v>HIDRÓXIDO DE TETRAMETIL-AMÔNIO, SÓLIDO</v>
          </cell>
          <cell r="C2115">
            <v>333</v>
          </cell>
          <cell r="D2115" t="str">
            <v>1 kg</v>
          </cell>
        </row>
        <row r="2116">
          <cell r="A2116">
            <v>3424</v>
          </cell>
          <cell r="B2116" t="str">
            <v>DINITRO-o-CRESOLATO DE AMÔNIO SOLUÇÃO</v>
          </cell>
          <cell r="C2116">
            <v>333</v>
          </cell>
          <cell r="D2116" t="str">
            <v>100 ml</v>
          </cell>
        </row>
        <row r="2117">
          <cell r="A2117">
            <v>3425</v>
          </cell>
          <cell r="B2117" t="str">
            <v>ÁCIDO BROMOACÉTICO, SÓLIDO</v>
          </cell>
          <cell r="C2117">
            <v>333</v>
          </cell>
          <cell r="D2117" t="str">
            <v>1 kg</v>
          </cell>
        </row>
        <row r="2118">
          <cell r="A2118">
            <v>3426</v>
          </cell>
          <cell r="B2118" t="str">
            <v>ACRILAMIDA EM SOLUÇÃO</v>
          </cell>
          <cell r="C2118">
            <v>333</v>
          </cell>
          <cell r="D2118" t="str">
            <v>5 L</v>
          </cell>
        </row>
        <row r="2119">
          <cell r="A2119">
            <v>3427</v>
          </cell>
          <cell r="B2119" t="str">
            <v>CLORETOS DE CLOROBENZILA. SÓLIDO</v>
          </cell>
          <cell r="C2119">
            <v>333</v>
          </cell>
          <cell r="D2119" t="str">
            <v>5 kg</v>
          </cell>
        </row>
        <row r="2120">
          <cell r="A2120">
            <v>3428</v>
          </cell>
          <cell r="B2120" t="str">
            <v>ISOCIANATO DE 3-CLORO-4-METILFENILA, SÓLIDO</v>
          </cell>
          <cell r="C2120">
            <v>333</v>
          </cell>
          <cell r="D2120" t="str">
            <v>500 g</v>
          </cell>
        </row>
        <row r="2121">
          <cell r="A2121">
            <v>3429</v>
          </cell>
          <cell r="B2121" t="str">
            <v>CLOROTOLUIDINAS, LÍQUIDAS</v>
          </cell>
          <cell r="C2121">
            <v>333</v>
          </cell>
          <cell r="D2121" t="str">
            <v>5 L</v>
          </cell>
        </row>
        <row r="2122">
          <cell r="A2122">
            <v>3430</v>
          </cell>
          <cell r="B2122" t="str">
            <v>XILENÓIS, LÍQUIDOS</v>
          </cell>
          <cell r="C2122">
            <v>333</v>
          </cell>
          <cell r="D2122" t="str">
            <v>100 ml</v>
          </cell>
        </row>
        <row r="2123">
          <cell r="A2123">
            <v>3431</v>
          </cell>
          <cell r="B2123" t="str">
            <v>TRIFLUORETOS DE NITROBENZENO, SÓLIDOS</v>
          </cell>
          <cell r="C2123">
            <v>333</v>
          </cell>
          <cell r="D2123" t="str">
            <v>500 g</v>
          </cell>
        </row>
        <row r="2124">
          <cell r="A2124">
            <v>3432</v>
          </cell>
          <cell r="B2124" t="str">
            <v>BIFENILAS POLICLORADAS, SÓLIDAS</v>
          </cell>
          <cell r="C2124" t="str">
            <v>ZERO</v>
          </cell>
          <cell r="D2124" t="str">
            <v>1 kg</v>
          </cell>
        </row>
        <row r="2125">
          <cell r="A2125">
            <v>3434</v>
          </cell>
          <cell r="B2125" t="str">
            <v>NITROCRESSÓIS, LÍQUIDOS</v>
          </cell>
          <cell r="C2125">
            <v>333</v>
          </cell>
          <cell r="D2125" t="str">
            <v>5 L</v>
          </cell>
        </row>
        <row r="2126">
          <cell r="A2126">
            <v>3436</v>
          </cell>
          <cell r="B2126" t="str">
            <v>HIDRATOS DE HEXAFLUORACETONA, SÓLIDO</v>
          </cell>
          <cell r="C2126">
            <v>333</v>
          </cell>
          <cell r="D2126" t="str">
            <v>500 g</v>
          </cell>
        </row>
        <row r="2127">
          <cell r="A2127">
            <v>3437</v>
          </cell>
          <cell r="B2127" t="str">
            <v>CLOROCRESSÓIS, SÓLIDOS</v>
          </cell>
          <cell r="C2127">
            <v>333</v>
          </cell>
          <cell r="D2127" t="str">
            <v>500 g</v>
          </cell>
        </row>
        <row r="2128">
          <cell r="A2128">
            <v>3438</v>
          </cell>
          <cell r="B2128" t="str">
            <v>ÁLCOOL alpha-METILBENZÍLICO, SÓLIDO</v>
          </cell>
          <cell r="C2128">
            <v>333</v>
          </cell>
          <cell r="D2128" t="str">
            <v>5 kg</v>
          </cell>
        </row>
        <row r="2129">
          <cell r="A2129">
            <v>3439</v>
          </cell>
          <cell r="B2129" t="str">
            <v>NITRILOS, TÓXICOS, SÓLIDOS, N.E.</v>
          </cell>
          <cell r="C2129">
            <v>20</v>
          </cell>
          <cell r="D2129" t="str">
            <v>5 kg</v>
          </cell>
        </row>
        <row r="2130">
          <cell r="A2130">
            <v>3440</v>
          </cell>
          <cell r="B2130" t="str">
            <v>COMPOSTO DE SELÊNIO, LÍQUIDO, N.E.</v>
          </cell>
          <cell r="C2130">
            <v>20</v>
          </cell>
          <cell r="D2130" t="str">
            <v>100 ml</v>
          </cell>
        </row>
        <row r="2131">
          <cell r="A2131">
            <v>3441</v>
          </cell>
          <cell r="B2131" t="str">
            <v>CLORODINITROBENZENOS, SÓLIDOS</v>
          </cell>
          <cell r="C2131">
            <v>333</v>
          </cell>
          <cell r="D2131" t="str">
            <v>500 g</v>
          </cell>
        </row>
        <row r="2132">
          <cell r="A2132">
            <v>3442</v>
          </cell>
          <cell r="B2132" t="str">
            <v>DICLOROANILINAS, SÓLIDAS</v>
          </cell>
          <cell r="C2132">
            <v>333</v>
          </cell>
          <cell r="D2132" t="str">
            <v>500 g</v>
          </cell>
        </row>
        <row r="2133">
          <cell r="A2133">
            <v>3443</v>
          </cell>
          <cell r="B2133" t="str">
            <v>DINITROBENZENOS, SÓLIDOS</v>
          </cell>
          <cell r="C2133">
            <v>333</v>
          </cell>
          <cell r="D2133" t="str">
            <v>500 g</v>
          </cell>
        </row>
        <row r="2134">
          <cell r="A2134">
            <v>3444</v>
          </cell>
          <cell r="B2134" t="str">
            <v>HIDROCLORETO DE NICOTINA, SÓLIDO</v>
          </cell>
          <cell r="C2134">
            <v>333</v>
          </cell>
          <cell r="D2134" t="str">
            <v>500 g</v>
          </cell>
        </row>
        <row r="2135">
          <cell r="A2135">
            <v>3445</v>
          </cell>
          <cell r="B2135" t="str">
            <v>SULFATO DE NICOTINA, SÓLIDA</v>
          </cell>
          <cell r="C2135">
            <v>333</v>
          </cell>
          <cell r="D2135" t="str">
            <v>500 g</v>
          </cell>
        </row>
        <row r="2136">
          <cell r="A2136">
            <v>3446</v>
          </cell>
          <cell r="B2136" t="str">
            <v>NITROTOLUENOS, SÓLIDOS</v>
          </cell>
          <cell r="C2136">
            <v>333</v>
          </cell>
          <cell r="D2136" t="str">
            <v>500 g</v>
          </cell>
        </row>
        <row r="2137">
          <cell r="A2137">
            <v>3447</v>
          </cell>
          <cell r="B2137" t="str">
            <v>NITROXILENOS, SÓLIDOS</v>
          </cell>
          <cell r="C2137">
            <v>333</v>
          </cell>
          <cell r="D2137" t="str">
            <v>500 g</v>
          </cell>
        </row>
        <row r="2138">
          <cell r="A2138">
            <v>3448</v>
          </cell>
          <cell r="B2138" t="str">
            <v>SUBSTÂNCIA PARA PRODUÇÃO DE GÁS LACRIMOGÊNEO, SÓLIDA, N.E.</v>
          </cell>
          <cell r="C2138">
            <v>20</v>
          </cell>
          <cell r="D2138" t="str">
            <v>ZERO</v>
          </cell>
        </row>
        <row r="2139">
          <cell r="A2139">
            <v>3449</v>
          </cell>
          <cell r="B2139" t="str">
            <v>CIANETOS DE BROMOBENZILA, SÓLIDOS</v>
          </cell>
          <cell r="C2139">
            <v>333</v>
          </cell>
          <cell r="D2139" t="str">
            <v>ZERO</v>
          </cell>
        </row>
        <row r="2140">
          <cell r="A2140">
            <v>3450</v>
          </cell>
          <cell r="B2140" t="str">
            <v>DIFENILCLOROARSINA, SÓLIDA</v>
          </cell>
          <cell r="C2140">
            <v>20</v>
          </cell>
          <cell r="D2140" t="str">
            <v>ZERO</v>
          </cell>
        </row>
        <row r="2141">
          <cell r="A2141">
            <v>3451</v>
          </cell>
          <cell r="B2141" t="str">
            <v>TOLUIDINAS, SÓLIDAS</v>
          </cell>
          <cell r="C2141">
            <v>333</v>
          </cell>
          <cell r="D2141" t="str">
            <v>500 g</v>
          </cell>
        </row>
        <row r="2142">
          <cell r="A2142">
            <v>3452</v>
          </cell>
          <cell r="B2142" t="str">
            <v>XILIDINAS, SÓLIDAS</v>
          </cell>
          <cell r="C2142">
            <v>333</v>
          </cell>
          <cell r="D2142" t="str">
            <v>500 g</v>
          </cell>
        </row>
        <row r="2143">
          <cell r="A2143">
            <v>3453</v>
          </cell>
          <cell r="B2143" t="str">
            <v>ÁCIDO FOSFÓRICO, SÓLIDO</v>
          </cell>
          <cell r="C2143">
            <v>1000</v>
          </cell>
          <cell r="D2143" t="str">
            <v>5 kg</v>
          </cell>
        </row>
        <row r="2144">
          <cell r="A2144">
            <v>3454</v>
          </cell>
          <cell r="B2144" t="str">
            <v>DINITROTOLUENOS, SÓLIDOS</v>
          </cell>
          <cell r="C2144">
            <v>333</v>
          </cell>
          <cell r="D2144" t="str">
            <v>500 g</v>
          </cell>
        </row>
        <row r="2145">
          <cell r="A2145">
            <v>3455</v>
          </cell>
          <cell r="B2145" t="str">
            <v>CRESÓIS, SÓLIDOS</v>
          </cell>
          <cell r="C2145">
            <v>333</v>
          </cell>
          <cell r="D2145" t="str">
            <v>500 g</v>
          </cell>
        </row>
        <row r="2146">
          <cell r="A2146">
            <v>3456</v>
          </cell>
          <cell r="B2146" t="str">
            <v>ÁCIDO NITROSILSULFÚRICO, SÓLIDO</v>
          </cell>
          <cell r="C2146">
            <v>333</v>
          </cell>
          <cell r="D2146" t="str">
            <v>1 kg</v>
          </cell>
        </row>
        <row r="2147">
          <cell r="A2147">
            <v>3457</v>
          </cell>
          <cell r="B2147" t="str">
            <v>CLORONITROTOLUENOS, SÓLIDOS</v>
          </cell>
          <cell r="C2147">
            <v>333</v>
          </cell>
          <cell r="D2147" t="str">
            <v>5 kg</v>
          </cell>
        </row>
        <row r="2148">
          <cell r="A2148">
            <v>3458</v>
          </cell>
          <cell r="B2148" t="str">
            <v>NITROANISÓIS, SÓLIDOS</v>
          </cell>
          <cell r="C2148">
            <v>333</v>
          </cell>
          <cell r="D2148" t="str">
            <v>5 kg</v>
          </cell>
        </row>
        <row r="2149">
          <cell r="A2149">
            <v>3459</v>
          </cell>
          <cell r="B2149" t="str">
            <v>NITROBROMOBENZENOS, SÓLIDOS</v>
          </cell>
          <cell r="C2149">
            <v>333</v>
          </cell>
          <cell r="D2149" t="str">
            <v>5 kg</v>
          </cell>
        </row>
        <row r="2150">
          <cell r="A2150">
            <v>3460</v>
          </cell>
          <cell r="B2150" t="str">
            <v>N-ETILBENZILTOLUIDINAS, SÓLIDAS</v>
          </cell>
          <cell r="C2150">
            <v>333</v>
          </cell>
          <cell r="D2150" t="str">
            <v>5 kg</v>
          </cell>
        </row>
        <row r="2151">
          <cell r="A2151">
            <v>3462</v>
          </cell>
          <cell r="B2151" t="str">
            <v>TOXINAS, EXTRAÍDAS DE ORGANISMOS VIVOS, SÓLIDAS, N.E.</v>
          </cell>
          <cell r="C2151">
            <v>20</v>
          </cell>
          <cell r="D2151" t="str">
            <v>5 kg</v>
          </cell>
        </row>
        <row r="2152">
          <cell r="A2152">
            <v>3463</v>
          </cell>
          <cell r="B2152" t="str">
            <v>ÁCIDO PROPIÔNICO com no mínimo 90% de ácido em massa</v>
          </cell>
          <cell r="C2152">
            <v>333</v>
          </cell>
          <cell r="D2152" t="str">
            <v>1 L</v>
          </cell>
        </row>
        <row r="2153">
          <cell r="A2153">
            <v>3464</v>
          </cell>
          <cell r="B2153" t="str">
            <v>FÓSFORO, COMPOSTO ORGÂNICO, TÓXICO, SÓLIDO, N.E.</v>
          </cell>
          <cell r="C2153">
            <v>20</v>
          </cell>
          <cell r="D2153" t="str">
            <v>5 kg</v>
          </cell>
        </row>
        <row r="2154">
          <cell r="A2154">
            <v>3465</v>
          </cell>
          <cell r="B2154" t="str">
            <v>ARSÊNICO, COMPOSTO ORGÂNICO, SÓLIDO, N.E.</v>
          </cell>
          <cell r="C2154">
            <v>20</v>
          </cell>
          <cell r="D2154" t="str">
            <v>5 kg</v>
          </cell>
        </row>
        <row r="2155">
          <cell r="A2155">
            <v>3466</v>
          </cell>
          <cell r="B2155" t="str">
            <v>METAL CARBONILAS, SÓLIDAS, N.E.</v>
          </cell>
          <cell r="C2155">
            <v>20</v>
          </cell>
          <cell r="D2155" t="str">
            <v>5 kg</v>
          </cell>
        </row>
        <row r="2156">
          <cell r="A2156">
            <v>3467</v>
          </cell>
          <cell r="B2156" t="str">
            <v>COMPOSTO ORGANOMETÁLICO, TÓXICO, SÓLIDO, N.E.</v>
          </cell>
          <cell r="C2156">
            <v>20</v>
          </cell>
          <cell r="D2156" t="str">
            <v>5 kg</v>
          </cell>
        </row>
        <row r="2157">
          <cell r="A2157">
            <v>3468</v>
          </cell>
          <cell r="B2157" t="str">
            <v>HIDROGÊNIO  EM  UM  SISTEMA  DE  ARMAZENAGEM  DE  HIDRETO  METÁLICO  ou  HIDROGÊNIO  EM  UM SISTEMA DE ARMAZENAGEM DE HIDRETO METÁLICO CONTIDO EM EQUIPAMENTO ou HIDROGÊNIO EM UM SISTEMA DE ARMAZENAGEM DE HIDRETO METÁLICO EMBALADO COM EQUIPAMENTO</v>
          </cell>
          <cell r="C2157">
            <v>333</v>
          </cell>
          <cell r="D2157" t="str">
            <v>ZERO</v>
          </cell>
        </row>
        <row r="2158">
          <cell r="A2158">
            <v>3469</v>
          </cell>
          <cell r="B2158" t="str">
            <v>TINTA   INFLAMÁVEL,   CORROSIVA   (incluindo   tintas,   lacas,   esmaltes,   tinturas,   goma-lacas,   vernizes,   polidores, enchimentos   líquidos   e   bases   líquidas   para   lacas)   ou  MATERIAL   RELACIONADO  COM   TINTA  INFLAMÁVEL, CORROSIVA (incluindo diluentes ou redutores para tintas)</v>
          </cell>
          <cell r="C2158">
            <v>20</v>
          </cell>
          <cell r="D2158" t="str">
            <v>1 L</v>
          </cell>
        </row>
        <row r="2159">
          <cell r="A2159">
            <v>3470</v>
          </cell>
          <cell r="B2159" t="str">
            <v>TINTA   CORROSIVA,   INFLAMÁVEL   (incluindo   tintas,   lacas,   esmaltes,   tinturas,   goma-lacas,   vernizes,   polidores, enchimentos   líquidos   e   bases   líquidas   para   lacas)   ou   MATERIAL   RELACIONADO   COM   TINTA   CORROSIVA, INFLAMÁVEL (incluindo diluentes ou redutores para tintas)</v>
          </cell>
          <cell r="C2159">
            <v>333</v>
          </cell>
          <cell r="D2159" t="str">
            <v>1 L</v>
          </cell>
        </row>
        <row r="2160">
          <cell r="A2160">
            <v>3471</v>
          </cell>
          <cell r="B2160" t="str">
            <v>HIDROGENODIFLUORETO SOLUÇÃO, N.E.</v>
          </cell>
          <cell r="C2160">
            <v>333</v>
          </cell>
          <cell r="D2160" t="str">
            <v>1 L</v>
          </cell>
        </row>
        <row r="2161">
          <cell r="A2161">
            <v>3472</v>
          </cell>
          <cell r="B2161" t="str">
            <v>ÁCIDO CROTÔNICO, LÍQUIDO</v>
          </cell>
          <cell r="C2161">
            <v>1000</v>
          </cell>
          <cell r="D2161" t="str">
            <v>5 L</v>
          </cell>
        </row>
        <row r="2162">
          <cell r="A2162">
            <v>3473</v>
          </cell>
          <cell r="B2162" t="str">
            <v>CARTUCHOS PARA  PILHAS DE  COMBUSTÍVEL  ou  CARTUCHOS PARA  PILHAS DE  COMBUSTÍVEL CONTIDOS EM  EQUIPAMENTO  ou   CARTUCHOS  PARA  PILHAS  DE  COMBUSTÍVEL  EMBALADOS  COM  EQUIPAMENTO,</v>
          </cell>
        </row>
        <row r="2163">
          <cell r="A2163">
            <v>3474</v>
          </cell>
          <cell r="B2163" t="str">
            <v>1 - HIDROXIBENZOTRIAZOL MONOHIDRATADO</v>
          </cell>
          <cell r="C2163">
            <v>20</v>
          </cell>
          <cell r="D2163" t="str">
            <v>ZERO</v>
          </cell>
        </row>
        <row r="2164">
          <cell r="A2164">
            <v>3475</v>
          </cell>
          <cell r="B2164" t="str">
            <v>MISTURA DE ETANOL E GASOLINA ou MISTURA DE ETANOL E COMBUSTÍVEL PARA MOTORES  com mais de</v>
          </cell>
        </row>
        <row r="2165">
          <cell r="A2165">
            <v>3476</v>
          </cell>
          <cell r="B2165" t="str">
            <v>CARTUCHOS PARA  PILHAS DE  COMBUSTÍVEL  ou  CARTUCHOS PARA  PILHAS DE  COMBUSTÍVEL CONTIDOS EM  EQUIPAMENTO  ou   CARTUCHOS  PARA  PILHAS  DE  COMBUSTÍVEL  EMBALADOS  COM  EQUIPAMENTO,</v>
          </cell>
        </row>
        <row r="2166">
          <cell r="A2166">
            <v>3477</v>
          </cell>
          <cell r="B2166" t="str">
            <v>CARTUCHOS PARA  PILHAS DE  COMBUSTÍVEL  ou  CARTUCHOS PARA  PILHAS DE  COMBUSTÍVEL CONTIDOS EM  EQUIPAMENTO  ou   CARTUCHOS  PARA  PILHAS  DE  COMBUSTÍVEL  EMBALADOS  COM  EQUIPAMENTO,</v>
          </cell>
        </row>
        <row r="2167">
          <cell r="A2167">
            <v>3478</v>
          </cell>
          <cell r="B2167" t="str">
            <v>CARTUCHOS PARA  PILHAS DE  COMBUSTÍVEL  ou  CARTUCHOS PARA  PILHAS DE  COMBUSTÍVEL CONTIDOS EM  EQUIPAMENTO  ou   CARTUCHOS  PARA  PILHAS  DE  COMBUSTÍVEL  EMBALADOS  COM  EQUIPAMENTO,</v>
          </cell>
        </row>
        <row r="2168">
          <cell r="A2168">
            <v>3479</v>
          </cell>
          <cell r="B2168" t="str">
            <v>CARTUCHOS PARA  PILHAS DE  COMBUSTÍVEL  ou  CARTUCHOS PARA  PILHAS DE  COMBUSTÍVEL CONTIDOS EM  EQUIPAMENTO  ou   CARTUCHOS  PARA  PILHAS  DE  COMBUSTÍVEL  EMBALADOS  COM  EQUIPAMENTO,</v>
          </cell>
        </row>
        <row r="2169">
          <cell r="A2169">
            <v>3480</v>
          </cell>
          <cell r="B2169" t="str">
            <v>BATERIAS DE ÍON LÍTIO (incluindo baterias de polímero de íon lítio)</v>
          </cell>
          <cell r="C2169">
            <v>333</v>
          </cell>
          <cell r="D2169" t="str">
            <v>ZERO</v>
          </cell>
        </row>
        <row r="2170">
          <cell r="A2170">
            <v>3481</v>
          </cell>
          <cell r="B2170" t="str">
            <v>BATERIAS  DE  ÍON  LÍTIO  CONTIDAS  EM  EQUIPAMENTOS  ou   BATERIAS  DE  ÍON  LÍTIO  EMBALADAS  COM</v>
          </cell>
        </row>
        <row r="2171">
          <cell r="A2171">
            <v>3482</v>
          </cell>
          <cell r="B2171" t="str">
            <v>DISPERSÃO  DE  METAIS  ALCALINOS,  INFLAMÁVEL  ou  DISPERSÃO  DE  METAIS  ALCALINOS  TERROSOS, INFLAMÁVEL</v>
          </cell>
          <cell r="C2171">
            <v>20</v>
          </cell>
          <cell r="D2171" t="str">
            <v>ZERO</v>
          </cell>
        </row>
        <row r="2172">
          <cell r="A2172">
            <v>3483</v>
          </cell>
          <cell r="B2172" t="str">
            <v>MISTURA ANTIDETONANTE PARA COMBUSTÍVEL DE MOTORES, INFLAMÁVEL</v>
          </cell>
          <cell r="C2172">
            <v>20</v>
          </cell>
          <cell r="D2172" t="str">
            <v>ZERO</v>
          </cell>
        </row>
        <row r="2173">
          <cell r="A2173">
            <v>3484</v>
          </cell>
          <cell r="B2173" t="str">
            <v>HIDRAZINA, SOLUÇÃO AQUOSA, INFLAMÁVEL, com mais de 37% de hidrazina, em massa</v>
          </cell>
          <cell r="C2173">
            <v>20</v>
          </cell>
          <cell r="D2173" t="str">
            <v>ZERO</v>
          </cell>
        </row>
        <row r="2174">
          <cell r="A2174">
            <v>3485</v>
          </cell>
          <cell r="B2174" t="str">
            <v>HIPOCLORITO   DE   CÁLCIO,   SECO,   CORROSIVO   ou   MISTURA   DE    HIPOCLORITO   DE    CÁLCIO,   SECO,</v>
          </cell>
        </row>
        <row r="2175">
          <cell r="A2175">
            <v>3486</v>
          </cell>
          <cell r="B2175" t="str">
            <v>MISTURA DE HIPOCLORITO DE CÁLCIO, SECO, CORROSIVO, com mais de 10% e até 39% de cloro ativo</v>
          </cell>
          <cell r="C2175">
            <v>1000</v>
          </cell>
          <cell r="D2175" t="str">
            <v>5 kg</v>
          </cell>
        </row>
        <row r="2176">
          <cell r="A2176">
            <v>3487</v>
          </cell>
          <cell r="B2176" t="str">
            <v>HIPOCLORITO DE CÁLCIO, HIDRATADO, CORROSIVO ou MISTURA DE HIPOCLORITO DE CÁLCIO,</v>
          </cell>
        </row>
        <row r="2177">
          <cell r="A2177">
            <v>3488</v>
          </cell>
          <cell r="B2177" t="str">
            <v>LÍQUIDO TÓXICO POR INALAÇÃO, INFLAMÁVEL, CORROSIVO, N.E. com uma CL50 inferior ou igual a 200 ml/m3  e concentração saturada de vapor superior ou igual a 500 CL50</v>
          </cell>
          <cell r="C2177">
            <v>20</v>
          </cell>
          <cell r="D2177" t="str">
            <v>ZERO</v>
          </cell>
        </row>
        <row r="2178">
          <cell r="A2178">
            <v>3489</v>
          </cell>
          <cell r="B2178" t="str">
            <v>LÍQUIDO TÓXICO POR INALAÇÃO, INFLAMÁVEL, CORROSIVO, N.E. com uma CL50  inferior ou igual a 1000 ml/m3  e concentração saturada de vapor superior ou igual a 10 CL50</v>
          </cell>
          <cell r="C2178">
            <v>20</v>
          </cell>
          <cell r="D2178" t="str">
            <v>ZERO</v>
          </cell>
        </row>
        <row r="2179">
          <cell r="A2179">
            <v>3490</v>
          </cell>
          <cell r="B2179" t="str">
            <v>LÍQUIDO TÓXICO POR INALAÇÃO, QUE REAGE COM ÁGUA, INFLAMÁVEL, N.E. com uma CL50  inferior ou igual a</v>
          </cell>
        </row>
        <row r="2180">
          <cell r="A2180">
            <v>3491</v>
          </cell>
          <cell r="B2180" t="str">
            <v>LÍQUIDO TÓXICO POR INALAÇÃO, QUE REAGE COM ÁGUA, INFLAMÁVEL, N.E. com uma CL50  inferior ou igual a</v>
          </cell>
        </row>
        <row r="2181">
          <cell r="A2181">
            <v>3494</v>
          </cell>
          <cell r="B2181" t="str">
            <v>PETRÓLEO CRU ÁCIDO, INFLAMÁVEL, TÓXICO</v>
          </cell>
          <cell r="C2181">
            <v>20</v>
          </cell>
          <cell r="D2181" t="str">
            <v>1 L</v>
          </cell>
        </row>
        <row r="2182">
          <cell r="A2182">
            <v>3495</v>
          </cell>
          <cell r="B2182" t="str">
            <v>IODO</v>
          </cell>
          <cell r="C2182">
            <v>1000</v>
          </cell>
          <cell r="D2182" t="str">
            <v>5 kg</v>
          </cell>
        </row>
        <row r="2183">
          <cell r="A2183">
            <v>3497</v>
          </cell>
          <cell r="B2183" t="str">
            <v>FARINHA DE KRILL</v>
          </cell>
          <cell r="C2183">
            <v>333</v>
          </cell>
          <cell r="D2183" t="str">
            <v>ZERO</v>
          </cell>
        </row>
        <row r="2184">
          <cell r="A2184">
            <v>3498</v>
          </cell>
          <cell r="B2184" t="str">
            <v>IODO MONOCLORADO, LÍQUIDO</v>
          </cell>
          <cell r="C2184">
            <v>333</v>
          </cell>
          <cell r="D2184" t="str">
            <v>1 L</v>
          </cell>
        </row>
        <row r="2185">
          <cell r="A2185">
            <v>3499</v>
          </cell>
          <cell r="B2185" t="str">
            <v>CAPACITOR, ELÉTRICO DE DUPLA CAMADA (com capacidade de armazenamento de energia superior a 0,3 Wh)</v>
          </cell>
          <cell r="C2185" t="str">
            <v>ILIMITADA</v>
          </cell>
          <cell r="D2185" t="str">
            <v>ZERO</v>
          </cell>
        </row>
        <row r="2186">
          <cell r="A2186">
            <v>3500</v>
          </cell>
          <cell r="B2186" t="str">
            <v>PRODUTO QUÍMICO SOB PRESSÃO, N.E.</v>
          </cell>
          <cell r="C2186">
            <v>1000</v>
          </cell>
          <cell r="D2186" t="str">
            <v>ZERO</v>
          </cell>
        </row>
        <row r="2187">
          <cell r="A2187">
            <v>3501</v>
          </cell>
          <cell r="B2187" t="str">
            <v>PRODUTO QUÍMICO SOB PRESSÃO, INFLAMÁVEL, N.E.</v>
          </cell>
          <cell r="C2187">
            <v>333</v>
          </cell>
          <cell r="D2187" t="str">
            <v>ZERO</v>
          </cell>
        </row>
        <row r="2188">
          <cell r="A2188">
            <v>3502</v>
          </cell>
          <cell r="B2188" t="str">
            <v>PRODUTO QUÍMICO SOB PRESSÃO, TÓXICO, N.E.</v>
          </cell>
          <cell r="C2188">
            <v>20</v>
          </cell>
          <cell r="D2188" t="str">
            <v>ZERO</v>
          </cell>
        </row>
        <row r="2189">
          <cell r="A2189">
            <v>3503</v>
          </cell>
          <cell r="B2189" t="str">
            <v>PRODUTO QUÍMICO SOB PRESSÃO, CORROSIVO, N.E.</v>
          </cell>
          <cell r="C2189">
            <v>20</v>
          </cell>
          <cell r="D2189" t="str">
            <v>ZERO</v>
          </cell>
        </row>
        <row r="2190">
          <cell r="A2190">
            <v>3504</v>
          </cell>
          <cell r="B2190" t="str">
            <v>PRODUTO QUÍMICO SOB PRESSÃO, INFLAMÁVEL, TÓXICO, N.E.</v>
          </cell>
          <cell r="C2190">
            <v>20</v>
          </cell>
          <cell r="D2190" t="str">
            <v>ZERO</v>
          </cell>
        </row>
        <row r="2191">
          <cell r="A2191">
            <v>3505</v>
          </cell>
          <cell r="B2191" t="str">
            <v>PRODUTO QUÍMICO SOB PRESSÃO, INFLAMÁVEL, CORROSIVO, N.E.</v>
          </cell>
          <cell r="C2191">
            <v>20</v>
          </cell>
          <cell r="D2191" t="str">
            <v>ZERO</v>
          </cell>
        </row>
        <row r="2192">
          <cell r="A2192">
            <v>3506</v>
          </cell>
          <cell r="B2192" t="str">
            <v>MERCÚRIO CONTIDO EM ARTIGOS MANUFATURADOS</v>
          </cell>
          <cell r="C2192">
            <v>1000</v>
          </cell>
          <cell r="D2192" t="str">
            <v>5 kg</v>
          </cell>
        </row>
        <row r="2193">
          <cell r="A2193">
            <v>3507</v>
          </cell>
          <cell r="B2193" t="str">
            <v>HEXAFLUORETO  DE  URÂNIO,  MATERIAL  RADIOATIVO,  EMBALAGEM  EXCEPTIVA,  com menos  de  0,1  kg por</v>
          </cell>
        </row>
        <row r="2194">
          <cell r="A2194">
            <v>3508</v>
          </cell>
          <cell r="B2194" t="str">
            <v>CAPACITOR, ASSIMÉTRICO (com capacidade de armazenamento de energia superior a 0.3Wh)</v>
          </cell>
          <cell r="C2194" t="str">
            <v>ILIMITADA</v>
          </cell>
          <cell r="D2194" t="str">
            <v>ZERO</v>
          </cell>
        </row>
        <row r="2195">
          <cell r="A2195">
            <v>3509</v>
          </cell>
          <cell r="B2195" t="str">
            <v>EMBALAGENS VAZIAS, NÃO LIMPAS</v>
          </cell>
          <cell r="D2195" t="str">
            <v>ver capítulo 3.5</v>
          </cell>
        </row>
        <row r="2196">
          <cell r="A2196">
            <v>3510</v>
          </cell>
          <cell r="B2196" t="str">
            <v>GÁS ADSORVIDO, INFLAMÁVEL, N.E.</v>
          </cell>
          <cell r="C2196" t="str">
            <v>ZERO</v>
          </cell>
          <cell r="D2196" t="str">
            <v>ZERO</v>
          </cell>
        </row>
        <row r="2197">
          <cell r="A2197">
            <v>3511</v>
          </cell>
          <cell r="B2197" t="str">
            <v>GÁS ADSORVIDO, N.E.</v>
          </cell>
          <cell r="C2197" t="str">
            <v>ZERO</v>
          </cell>
          <cell r="D2197" t="str">
            <v>ZERO</v>
          </cell>
        </row>
        <row r="2198">
          <cell r="A2198">
            <v>3512</v>
          </cell>
          <cell r="B2198" t="str">
            <v>GÁS ADSORVIDO TÓXICO, N.E.</v>
          </cell>
          <cell r="C2198" t="str">
            <v>ZERO</v>
          </cell>
          <cell r="D2198" t="str">
            <v>ZERO</v>
          </cell>
        </row>
        <row r="2199">
          <cell r="A2199">
            <v>3513</v>
          </cell>
          <cell r="B2199" t="str">
            <v>GÁS ADSORVIDO, OXIDANTE, N.E.</v>
          </cell>
          <cell r="C2199" t="str">
            <v>ZERO</v>
          </cell>
          <cell r="D2199" t="str">
            <v>ZERO</v>
          </cell>
        </row>
        <row r="2200">
          <cell r="A2200">
            <v>3514</v>
          </cell>
          <cell r="B2200" t="str">
            <v>GÁS ADSORVIDO,TÓXICO INFLAMÁVEL, N.E.</v>
          </cell>
          <cell r="C2200" t="str">
            <v>ZERO</v>
          </cell>
          <cell r="D2200" t="str">
            <v>ZERO</v>
          </cell>
        </row>
        <row r="2201">
          <cell r="A2201">
            <v>3515</v>
          </cell>
          <cell r="B2201" t="str">
            <v>GÁS ADSORVIDO TÓXICO, OXIDANTE, N.E.</v>
          </cell>
          <cell r="C2201" t="str">
            <v>ZERO</v>
          </cell>
          <cell r="D2201" t="str">
            <v>ZERO</v>
          </cell>
        </row>
        <row r="2202">
          <cell r="A2202">
            <v>3516</v>
          </cell>
          <cell r="B2202" t="str">
            <v>GÁS ADSORVIDO, TÓXICO, CORROSIVO, N.E.</v>
          </cell>
          <cell r="C2202" t="str">
            <v>ZERO</v>
          </cell>
          <cell r="D2202" t="str">
            <v>ZERO</v>
          </cell>
        </row>
        <row r="2203">
          <cell r="A2203">
            <v>3517</v>
          </cell>
          <cell r="B2203" t="str">
            <v>GÁS ADSORVIDO, TÓXICO, INFLAMÁVEL, CORROSIVO, N.E.</v>
          </cell>
          <cell r="C2203" t="str">
            <v>ZERO</v>
          </cell>
          <cell r="D2203" t="str">
            <v>ZERO</v>
          </cell>
        </row>
        <row r="2204">
          <cell r="A2204">
            <v>3518</v>
          </cell>
          <cell r="B2204" t="str">
            <v>GÁS ADSORVIDO, TÓXICO, OXIDANTE, CORROSIVO, N.E.</v>
          </cell>
          <cell r="C2204" t="str">
            <v>ZERO</v>
          </cell>
          <cell r="D2204" t="str">
            <v>ZERO</v>
          </cell>
        </row>
        <row r="2205">
          <cell r="A2205">
            <v>3519</v>
          </cell>
          <cell r="B2205" t="str">
            <v>TRIFLUORETO DE BORO, ADSORVIDO</v>
          </cell>
          <cell r="C2205" t="str">
            <v>ZERO</v>
          </cell>
          <cell r="D2205" t="str">
            <v>ZERO</v>
          </cell>
        </row>
        <row r="2206">
          <cell r="A2206">
            <v>3520</v>
          </cell>
          <cell r="B2206" t="str">
            <v>CLORO, ADSORVIDO</v>
          </cell>
          <cell r="C2206" t="str">
            <v>ZERO</v>
          </cell>
          <cell r="D2206" t="str">
            <v>ZERO</v>
          </cell>
        </row>
        <row r="2207">
          <cell r="A2207">
            <v>3521</v>
          </cell>
          <cell r="B2207" t="str">
            <v>TETRAFLUORETO DE SILICONE, ADSORVIDO</v>
          </cell>
          <cell r="C2207" t="str">
            <v>ZERO</v>
          </cell>
          <cell r="D2207" t="str">
            <v>ZERO</v>
          </cell>
        </row>
        <row r="2208">
          <cell r="A2208">
            <v>3522</v>
          </cell>
          <cell r="B2208" t="str">
            <v>ARSINA, ADSORVIDA</v>
          </cell>
          <cell r="C2208" t="str">
            <v>ZERO</v>
          </cell>
          <cell r="D2208" t="str">
            <v>ZERO</v>
          </cell>
        </row>
        <row r="2209">
          <cell r="A2209">
            <v>3523</v>
          </cell>
          <cell r="B2209" t="str">
            <v>GERMANO, ADSORVIDO</v>
          </cell>
          <cell r="C2209" t="str">
            <v>ZERO</v>
          </cell>
          <cell r="D2209" t="str">
            <v>ZERO</v>
          </cell>
        </row>
        <row r="2210">
          <cell r="A2210">
            <v>3524</v>
          </cell>
          <cell r="B2210" t="str">
            <v>PENTAFLUORETO DE FÓSFORO, ADSORVIDO</v>
          </cell>
          <cell r="C2210" t="str">
            <v>ZERO</v>
          </cell>
          <cell r="D2210" t="str">
            <v>ZERO</v>
          </cell>
        </row>
        <row r="2211">
          <cell r="A2211">
            <v>3525</v>
          </cell>
          <cell r="B2211" t="str">
            <v>FOSFINA, ADSORVIDA</v>
          </cell>
          <cell r="C2211" t="str">
            <v>ZERO</v>
          </cell>
          <cell r="D2211" t="str">
            <v>ZERO</v>
          </cell>
        </row>
        <row r="2212">
          <cell r="A2212">
            <v>3526</v>
          </cell>
          <cell r="B2212" t="str">
            <v>SELENETO DE HIDROGÊNIO, ADSORVIDO</v>
          </cell>
          <cell r="C2212" t="str">
            <v>ZERO</v>
          </cell>
          <cell r="D2212" t="str">
            <v>ZERO</v>
          </cell>
        </row>
        <row r="2213">
          <cell r="A2213">
            <v>3527</v>
          </cell>
          <cell r="B2213" t="str">
            <v>KIT RESINA DE POLIÉSTER, material base sólida</v>
          </cell>
          <cell r="C2213">
            <v>1000</v>
          </cell>
          <cell r="D2213" t="str">
            <v>5 kg</v>
          </cell>
        </row>
        <row r="2214">
          <cell r="A2214">
            <v>3528</v>
          </cell>
          <cell r="B2214" t="str">
            <v>MOTOR, COMBUSTÃO INTERNA, MOVIDO A LÍQUIDO INFLAMÁVEL ou MOTOR, PILHA DE COMBUSTÍVEL, MOVIDO A LÍQUIDO INFLAMÁVEL ou MAQUINÁRIO, COMBUSTÃO INTERNA, MOVIDO A LÍQUIDO INFLAMÁVEL ou MAQUINÁRIO, PILHA DE COMBUSTÍVEL, MOVIDO A LÍQUIDO INFLAMÁVEL</v>
          </cell>
          <cell r="C2214" t="str">
            <v>ZERO</v>
          </cell>
          <cell r="D2214" t="str">
            <v>ZERO</v>
          </cell>
        </row>
        <row r="2215">
          <cell r="A2215">
            <v>3529</v>
          </cell>
          <cell r="B2215" t="str">
            <v>MOTOR, COMBUSTÃO INTERNA, MOVIDO A GÁS INFLAMÁVEL ou MOTOR, PILHA DE COMBUSTÍVEL, MOVIDO A GÁS INFLAMÁVEL ou MAQUINÁRIO, COMBUSTÃO INTERNA, MOVIDO A GÁS INFLAMÁVEL ou MAQUINÁRIO, PILHA DE COMBUSTÍVEL, MOVIDO A GÁS INFLAMÁVEL</v>
          </cell>
          <cell r="C2215" t="str">
            <v>ZERO</v>
          </cell>
          <cell r="D2215" t="str">
            <v>ZERO</v>
          </cell>
        </row>
        <row r="2216">
          <cell r="A2216">
            <v>3530</v>
          </cell>
          <cell r="B2216" t="str">
            <v>MOTOR, COMBUSTÃO INTERNA, ou MAQUINÁRIO, COMBUSTÃO INTERNA</v>
          </cell>
          <cell r="C2216" t="str">
            <v>ZERO</v>
          </cell>
          <cell r="D2216" t="str">
            <v>ZERO</v>
          </cell>
        </row>
        <row r="2217">
          <cell r="A2217">
            <v>3531</v>
          </cell>
          <cell r="B2217" t="str">
            <v>SUBSTÂNCIA POLIMERIZANTE SÓLIDA, ESTABILIZADA, N.E.</v>
          </cell>
          <cell r="C2217" t="str">
            <v>ZERO</v>
          </cell>
          <cell r="D2217" t="str">
            <v>ZERO</v>
          </cell>
        </row>
        <row r="2218">
          <cell r="A2218">
            <v>3532</v>
          </cell>
          <cell r="B2218" t="str">
            <v>SUBSTÂNCIA POLIMERIZANTE LÍQUIDA, ESTABILIZADA, N.E.</v>
          </cell>
          <cell r="C2218" t="str">
            <v>ZERO</v>
          </cell>
          <cell r="D2218" t="str">
            <v>ZERO</v>
          </cell>
        </row>
        <row r="2219">
          <cell r="A2219">
            <v>3533</v>
          </cell>
          <cell r="B2219" t="str">
            <v>SUBSTÂNCIA POLIMERIZANTE SÓLIDA, TEMPERATURA CONTROLADA, N.E.</v>
          </cell>
          <cell r="C2219" t="str">
            <v>ZERO</v>
          </cell>
          <cell r="D2219" t="str">
            <v>ZERO</v>
          </cell>
        </row>
        <row r="2220">
          <cell r="A2220">
            <v>3534</v>
          </cell>
          <cell r="B2220" t="str">
            <v>SUBSTÂNCIA POLIMERIZANTE LÍQUIDA, TEMPERATURA CONTROLADA, N.E.</v>
          </cell>
          <cell r="C2220" t="str">
            <v>ZERO</v>
          </cell>
          <cell r="D2220" t="str">
            <v>ZERO</v>
          </cell>
        </row>
        <row r="2221">
          <cell r="A2221">
            <v>4194</v>
          </cell>
          <cell r="B2221" t="str">
            <v>ARTIGOS, EXPLOSIVOS, N.E.</v>
          </cell>
          <cell r="C2221">
            <v>20</v>
          </cell>
          <cell r="D2221" t="str">
            <v>ZERO</v>
          </cell>
        </row>
        <row r="2222">
          <cell r="A2222" t="str">
            <v>(a) mecanicamente produzido</v>
          </cell>
          <cell r="B2222" t="str">
            <v xml:space="preserve"> partículas com dimensões inferiores a 53 micra</v>
          </cell>
        </row>
        <row r="2223">
          <cell r="A2223" t="str">
            <v>†"</v>
          </cell>
          <cell r="B2223">
            <v>20</v>
          </cell>
          <cell r="C2223" t="str">
            <v>ZERO</v>
          </cell>
        </row>
        <row r="2224">
          <cell r="A2224" t="str">
            <v>10% de etanol"</v>
          </cell>
          <cell r="B2224">
            <v>333</v>
          </cell>
          <cell r="C2224" t="str">
            <v>1 L</v>
          </cell>
        </row>
        <row r="2225">
          <cell r="A2225" t="str">
            <v>10% de insensibilizante</v>
          </cell>
          <cell r="B2225" t="str">
            <v xml:space="preserve"> em massa †"</v>
          </cell>
          <cell r="C2225">
            <v>20</v>
          </cell>
          <cell r="D2225" t="str">
            <v>ZERO</v>
          </cell>
        </row>
        <row r="2226">
          <cell r="A2226" t="str">
            <v>1000 ml/m3  e concentração saturada de vapor superior ou igual a 10 CL50"</v>
          </cell>
          <cell r="B2226">
            <v>20</v>
          </cell>
          <cell r="C2226" t="str">
            <v>ZERO</v>
          </cell>
        </row>
        <row r="2227">
          <cell r="A2227" t="str">
            <v>200 ml/m3  e concentração saturada de vapor superior ou igual a 500 CL50"</v>
          </cell>
          <cell r="B2227">
            <v>20</v>
          </cell>
          <cell r="C2227" t="str">
            <v>ZERO</v>
          </cell>
        </row>
        <row r="2228">
          <cell r="A2228" t="str">
            <v>a 23ºC"</v>
          </cell>
          <cell r="B2228">
            <v>20</v>
          </cell>
          <cell r="C2228" t="str">
            <v>100 ml</v>
          </cell>
        </row>
        <row r="2229">
          <cell r="A2229" t="str">
            <v>a 23ºC"</v>
          </cell>
          <cell r="B2229">
            <v>20</v>
          </cell>
          <cell r="C2229" t="str">
            <v>100 ml</v>
          </cell>
        </row>
        <row r="2230">
          <cell r="A2230" t="str">
            <v>água</v>
          </cell>
          <cell r="B2230" t="str">
            <v xml:space="preserve"> em massa †"</v>
          </cell>
          <cell r="C2230">
            <v>20</v>
          </cell>
          <cell r="D2230" t="str">
            <v>ZERO</v>
          </cell>
        </row>
        <row r="2231">
          <cell r="A2231" t="str">
            <v>ao PFg"</v>
          </cell>
          <cell r="B2231">
            <v>1000</v>
          </cell>
          <cell r="C2231" t="str">
            <v>ZERO</v>
          </cell>
        </row>
        <row r="2232">
          <cell r="A2232" t="str">
            <v>borracha"</v>
          </cell>
          <cell r="B2232">
            <v>100000000000</v>
          </cell>
          <cell r="C2232" t="str">
            <v>1 kg</v>
          </cell>
        </row>
        <row r="2233">
          <cell r="A2233" t="str">
            <v>cianeto de hidrogênio"</v>
          </cell>
          <cell r="B2233">
            <v>0</v>
          </cell>
          <cell r="C2233" t="str">
            <v>ZERO</v>
          </cell>
        </row>
        <row r="2234">
          <cell r="A2234" t="str">
            <v>clorotrifluormetano (GÁS REFRIGERANTE R 503)"</v>
          </cell>
          <cell r="B2234">
            <v>1000</v>
          </cell>
          <cell r="C2234" t="str">
            <v>120 ml</v>
          </cell>
        </row>
        <row r="2235">
          <cell r="A2235" t="str">
            <v>compostos diluentes ou redutores)</v>
          </cell>
          <cell r="B2235" t="str">
            <v xml:space="preserve"> inflamável"</v>
          </cell>
          <cell r="C2235">
            <v>20</v>
          </cell>
          <cell r="D2235" t="str">
            <v>5 L</v>
          </cell>
        </row>
        <row r="2236">
          <cell r="A2236" t="str">
            <v>contendo gas inflamável liquefeito"</v>
          </cell>
          <cell r="B2236">
            <v>333</v>
          </cell>
          <cell r="C2236" t="str">
            <v>120 ml</v>
          </cell>
        </row>
        <row r="2237">
          <cell r="A2237" t="str">
            <v>contendo hidrogênio em hidreto metálico"</v>
          </cell>
          <cell r="B2237">
            <v>333</v>
          </cell>
          <cell r="C2237" t="str">
            <v>120 ml</v>
          </cell>
        </row>
        <row r="2238">
          <cell r="A2238" t="str">
            <v>contendo líquidos inflamáveis"</v>
          </cell>
          <cell r="B2238">
            <v>1000</v>
          </cell>
          <cell r="C2238" t="str">
            <v>1 L</v>
          </cell>
        </row>
        <row r="2239">
          <cell r="A2239" t="str">
            <v>contendo substâncias corrosivas"</v>
          </cell>
          <cell r="B2239">
            <v>1000</v>
          </cell>
          <cell r="C2239" t="str">
            <v>1 L                 ou</v>
          </cell>
        </row>
        <row r="2240">
          <cell r="A2240" t="str">
            <v>contendo substâncias que reagem com água"</v>
          </cell>
          <cell r="B2240">
            <v>1000</v>
          </cell>
          <cell r="C2240" t="str">
            <v>500 ml           ou</v>
          </cell>
        </row>
        <row r="2241">
          <cell r="A2241" t="str">
            <v>CORROSIVO</v>
          </cell>
          <cell r="B2241" t="str">
            <v xml:space="preserve"> com mais de 39% de cloro ativo (8</v>
          </cell>
          <cell r="C2241" t="str">
            <v>8% de oxigênio ativo)"</v>
          </cell>
          <cell r="D2241">
            <v>333</v>
          </cell>
        </row>
        <row r="2242">
          <cell r="A2242" t="str">
            <v>diclorodifluormetano (GÁS REFRIGERANTE R 500)"</v>
          </cell>
          <cell r="B2242">
            <v>1000</v>
          </cell>
          <cell r="C2242" t="str">
            <v>120 ml</v>
          </cell>
        </row>
        <row r="2243">
          <cell r="A2243" t="str">
            <v>em massa †"</v>
          </cell>
          <cell r="B2243">
            <v>20</v>
          </cell>
          <cell r="C2243" t="str">
            <v>ZERO</v>
          </cell>
        </row>
        <row r="2244">
          <cell r="A2244" t="str">
            <v>em massa"</v>
          </cell>
          <cell r="B2244">
            <v>0</v>
          </cell>
          <cell r="C2244" t="str">
            <v>ZERO</v>
          </cell>
        </row>
        <row r="2245">
          <cell r="A2245" t="str">
            <v>EMBALADAS COM EQUIPAMENTOS (incluindo beterias baterias de liga de litio)"</v>
          </cell>
          <cell r="B2245">
            <v>333</v>
          </cell>
          <cell r="C2245" t="str">
            <v>ZERO</v>
          </cell>
        </row>
        <row r="2246">
          <cell r="A2246" t="str">
            <v>embalagem</v>
          </cell>
          <cell r="B2246" t="str">
            <v xml:space="preserve"> não-físsil ou físsil-exceptivo"</v>
          </cell>
          <cell r="C2246" t="str">
            <v>ZERO</v>
          </cell>
          <cell r="D2246" t="str">
            <v>ZERO</v>
          </cell>
        </row>
        <row r="2247">
          <cell r="A2247" t="str">
            <v>EQUIPAMENTOS (incluindo baterias de pólimero de íon lítio)"</v>
          </cell>
          <cell r="B2247">
            <v>333</v>
          </cell>
          <cell r="C2247" t="str">
            <v>ZERO</v>
          </cell>
        </row>
        <row r="2248">
          <cell r="A2248" t="str">
            <v>ESTABILIZADA</v>
          </cell>
          <cell r="B2248" t="str">
            <v xml:space="preserve"> com mais de 60% de peróxido de hidrogênio"</v>
          </cell>
          <cell r="C2248">
            <v>20</v>
          </cell>
          <cell r="D2248" t="str">
            <v>ZERO</v>
          </cell>
        </row>
        <row r="2249">
          <cell r="A2249" t="str">
            <v>etc)"</v>
          </cell>
          <cell r="B2249">
            <v>1000</v>
          </cell>
          <cell r="C2249" t="str">
            <v>ZERO</v>
          </cell>
        </row>
        <row r="2250">
          <cell r="A2250" t="str">
            <v>etileno</v>
          </cell>
          <cell r="B2250" t="str">
            <v xml:space="preserve"> até 22</v>
          </cell>
          <cell r="C2250" t="str">
            <v>5% de acetileno e até 6% de propileno"</v>
          </cell>
          <cell r="D2250">
            <v>333</v>
          </cell>
        </row>
        <row r="2251">
          <cell r="A2251" t="str">
            <v>exceptivo"</v>
          </cell>
          <cell r="B2251">
            <v>0</v>
          </cell>
          <cell r="C2251" t="str">
            <v>ZERO</v>
          </cell>
        </row>
        <row r="2252">
          <cell r="A2252" t="str">
            <v>HIDRATADO</v>
          </cell>
          <cell r="B2252" t="str">
            <v xml:space="preserve"> CORROSIVO com não menos que 5</v>
          </cell>
          <cell r="C2252" t="str">
            <v>5% e até 16% de água"</v>
          </cell>
          <cell r="D2252">
            <v>333</v>
          </cell>
        </row>
        <row r="2253">
          <cell r="A2253" t="str">
            <v>hidrazina anidra e metilhidrazina) (combustível M86)"</v>
          </cell>
          <cell r="B2253">
            <v>20</v>
          </cell>
          <cell r="C2253" t="str">
            <v>ZERO</v>
          </cell>
        </row>
        <row r="2254">
          <cell r="A2254" t="str">
            <v>igual ou superior a 23ºC"</v>
          </cell>
          <cell r="B2254">
            <v>20</v>
          </cell>
          <cell r="C2254" t="str">
            <v>100 ml</v>
          </cell>
        </row>
        <row r="2255">
          <cell r="A2255" t="str">
            <v>inferior a 23ºC"</v>
          </cell>
          <cell r="B2255">
            <v>20</v>
          </cell>
          <cell r="C2255" t="str">
            <v>1 L</v>
          </cell>
        </row>
        <row r="2256">
          <cell r="A2256" t="str">
            <v>inflamável"</v>
          </cell>
          <cell r="B2256">
            <v>1000</v>
          </cell>
          <cell r="C2256" t="str">
            <v>5 kg</v>
          </cell>
        </row>
        <row r="2257">
          <cell r="A2257" t="str">
            <v>INSENSIBILIZADA</v>
          </cell>
          <cell r="B2257" t="str">
            <v xml:space="preserve"> SÓLIDA</v>
          </cell>
          <cell r="C2257" t="str">
            <v xml:space="preserve"> N.E.</v>
          </cell>
          <cell r="D2257" t="str">
            <v xml:space="preserve"> com mais de 10% e até 20% de petn</v>
          </cell>
        </row>
        <row r="2258">
          <cell r="A2258" t="str">
            <v>livre (8</v>
          </cell>
          <cell r="B2258" t="str">
            <v>8% de oxigênio livre)"</v>
          </cell>
          <cell r="C2258">
            <v>333</v>
          </cell>
          <cell r="D2258" t="str">
            <v>1 kg</v>
          </cell>
        </row>
        <row r="2259">
          <cell r="A2259" t="str">
            <v>livre"</v>
          </cell>
          <cell r="B2259">
            <v>1000</v>
          </cell>
          <cell r="C2259" t="str">
            <v>5 kg</v>
          </cell>
        </row>
        <row r="2260">
          <cell r="A2260" t="str">
            <v>livre"</v>
          </cell>
          <cell r="B2260">
            <v>1000</v>
          </cell>
          <cell r="C2260" t="str">
            <v>5 L</v>
          </cell>
        </row>
        <row r="2261">
          <cell r="A2261" t="str">
            <v>mais de 40% de butadienos"</v>
          </cell>
          <cell r="B2261">
            <v>333</v>
          </cell>
          <cell r="C2261" t="str">
            <v>ZERO</v>
          </cell>
        </row>
        <row r="2262">
          <cell r="A2262" t="str">
            <v>mais e até 16% de água"</v>
          </cell>
          <cell r="B2262">
            <v>333</v>
          </cell>
          <cell r="C2262" t="str">
            <v>1 kg</v>
          </cell>
        </row>
        <row r="2263">
          <cell r="A2263" t="str">
            <v>massa †"</v>
          </cell>
          <cell r="B2263">
            <v>20</v>
          </cell>
          <cell r="C2263" t="str">
            <v>ZERO</v>
          </cell>
        </row>
        <row r="2264">
          <cell r="A2264" t="str">
            <v>massa"</v>
          </cell>
          <cell r="B2264">
            <v>333</v>
          </cell>
          <cell r="C2264" t="str">
            <v>ZERO</v>
          </cell>
        </row>
        <row r="2265">
          <cell r="A2265" t="str">
            <v>mistura de álcool e água</v>
          </cell>
          <cell r="B2265" t="str">
            <v xml:space="preserve"> em massa †"</v>
          </cell>
          <cell r="C2265" t="str">
            <v>ZERO</v>
          </cell>
          <cell r="D2265" t="str">
            <v>ZERO</v>
          </cell>
        </row>
        <row r="2266">
          <cell r="A2266" t="str">
            <v>não-inferior a 18 micra)"</v>
          </cell>
          <cell r="B2266">
            <v>1000</v>
          </cell>
          <cell r="C2266" t="str">
            <v>5 kg</v>
          </cell>
        </row>
        <row r="2267">
          <cell r="A2267" t="str">
            <v>ou TERFENILAS POLIHALOGENADAS</v>
          </cell>
          <cell r="B2267" t="str">
            <v xml:space="preserve"> LÍQUIDAS"</v>
          </cell>
          <cell r="C2267" t="str">
            <v>ZERO</v>
          </cell>
          <cell r="D2267" t="str">
            <v>1 L</v>
          </cell>
        </row>
        <row r="2268">
          <cell r="A2268" t="str">
            <v>ou TERFENILAS POLIHALOGENADAS</v>
          </cell>
          <cell r="B2268" t="str">
            <v xml:space="preserve"> SÓLIDAS"</v>
          </cell>
          <cell r="C2268" t="str">
            <v>ZERO</v>
          </cell>
          <cell r="D2268" t="str">
            <v>1 kg</v>
          </cell>
        </row>
        <row r="2269">
          <cell r="A2269" t="str">
            <v>PETN)</v>
          </cell>
          <cell r="B2269" t="str">
            <v xml:space="preserve"> INSENSIBILIZADO com</v>
          </cell>
          <cell r="C2269" t="str">
            <v xml:space="preserve"> no mínimo</v>
          </cell>
          <cell r="D2269" t="str">
            <v xml:space="preserve"> 15% de insensibilizante</v>
          </cell>
        </row>
        <row r="2270">
          <cell r="A2270" t="str">
            <v>sulfúrico livre"</v>
          </cell>
          <cell r="B2270">
            <v>333</v>
          </cell>
          <cell r="C2270" t="str">
            <v>1 kg</v>
          </cell>
        </row>
        <row r="2271">
          <cell r="A2271" t="str">
            <v>sulfúrico livre"</v>
          </cell>
          <cell r="B2271">
            <v>333</v>
          </cell>
          <cell r="C2271" t="str">
            <v>1 L</v>
          </cell>
        </row>
      </sheetData>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9"/>
  <sheetViews>
    <sheetView tabSelected="1" workbookViewId="0">
      <selection activeCell="E7" sqref="E7"/>
    </sheetView>
  </sheetViews>
  <sheetFormatPr defaultRowHeight="15" x14ac:dyDescent="0.25"/>
  <cols>
    <col min="11" max="11" width="16" bestFit="1" customWidth="1"/>
    <col min="19" max="19" width="37.140625" bestFit="1" customWidth="1"/>
    <col min="20" max="20" width="41.28515625" bestFit="1" customWidth="1"/>
  </cols>
  <sheetData>
    <row r="1" spans="1:20" ht="36" x14ac:dyDescent="0.25">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3" t="s">
        <v>15</v>
      </c>
      <c r="Q1" s="1" t="s">
        <v>16</v>
      </c>
      <c r="R1" s="1" t="s">
        <v>17</v>
      </c>
      <c r="S1" s="12" t="s">
        <v>18</v>
      </c>
      <c r="T1" s="12" t="s">
        <v>19</v>
      </c>
    </row>
    <row r="2" spans="1:20" x14ac:dyDescent="0.25">
      <c r="A2" s="4" t="s">
        <v>20</v>
      </c>
      <c r="B2" s="1" t="s">
        <v>21</v>
      </c>
      <c r="C2" s="1" t="s">
        <v>22</v>
      </c>
      <c r="D2" s="1" t="s">
        <v>23</v>
      </c>
      <c r="E2" s="5" t="s">
        <v>24</v>
      </c>
      <c r="F2" s="5" t="s">
        <v>25</v>
      </c>
      <c r="G2" s="1" t="s">
        <v>26</v>
      </c>
      <c r="H2" s="5" t="s">
        <v>27</v>
      </c>
      <c r="I2" s="5">
        <v>30</v>
      </c>
      <c r="J2" s="5">
        <v>1173</v>
      </c>
      <c r="K2" s="5" t="s">
        <v>28</v>
      </c>
      <c r="L2" s="5" t="s">
        <v>29</v>
      </c>
      <c r="M2" s="5" t="s">
        <v>21</v>
      </c>
      <c r="N2" s="5">
        <v>801910</v>
      </c>
      <c r="O2" s="5" t="s">
        <v>30</v>
      </c>
      <c r="P2" s="6">
        <v>70104</v>
      </c>
      <c r="Q2" s="6" t="s">
        <v>31</v>
      </c>
      <c r="R2" s="1" t="s">
        <v>32</v>
      </c>
      <c r="S2" s="7">
        <f>IF(J2="Não aplicável","N.A.",VLOOKUP(J2,'[1]Lista ONU'!$A$2:$D$2271,3))</f>
        <v>333</v>
      </c>
      <c r="T2" s="7" t="str">
        <f>IF(J2="Não aplicável","N.A.",VLOOKUP(J2,'[1]Lista ONU'!$A$2:$D$2271,4))</f>
        <v>1 L</v>
      </c>
    </row>
    <row r="3" spans="1:20" x14ac:dyDescent="0.25">
      <c r="A3" s="4" t="s">
        <v>20</v>
      </c>
      <c r="B3" s="1" t="s">
        <v>33</v>
      </c>
      <c r="C3" s="1" t="s">
        <v>22</v>
      </c>
      <c r="D3" s="1" t="s">
        <v>34</v>
      </c>
      <c r="E3" s="5" t="s">
        <v>24</v>
      </c>
      <c r="F3" s="5" t="s">
        <v>25</v>
      </c>
      <c r="G3" s="1" t="s">
        <v>26</v>
      </c>
      <c r="H3" s="5" t="s">
        <v>27</v>
      </c>
      <c r="I3" s="5">
        <v>30</v>
      </c>
      <c r="J3" s="5">
        <v>1090</v>
      </c>
      <c r="K3" s="5" t="s">
        <v>28</v>
      </c>
      <c r="L3" s="5" t="s">
        <v>29</v>
      </c>
      <c r="M3" s="5" t="s">
        <v>33</v>
      </c>
      <c r="N3" s="5">
        <v>801910</v>
      </c>
      <c r="O3" s="5" t="s">
        <v>30</v>
      </c>
      <c r="P3" s="1">
        <v>70104</v>
      </c>
      <c r="Q3" s="6" t="s">
        <v>31</v>
      </c>
      <c r="R3" s="1" t="s">
        <v>32</v>
      </c>
      <c r="S3" s="7">
        <f>IF(J3="Não aplicável","N.A.",VLOOKUP(J3,'[1]Lista ONU'!$A$2:$D$2271,3))</f>
        <v>333</v>
      </c>
      <c r="T3" s="7" t="str">
        <f>IF(J3="Não aplicável","N.A.",VLOOKUP(J3,'[1]Lista ONU'!$A$2:$D$2271,4))</f>
        <v>1 L</v>
      </c>
    </row>
    <row r="4" spans="1:20" x14ac:dyDescent="0.25">
      <c r="A4" s="4" t="s">
        <v>20</v>
      </c>
      <c r="B4" s="1" t="s">
        <v>35</v>
      </c>
      <c r="C4" s="1" t="s">
        <v>22</v>
      </c>
      <c r="D4" s="1" t="s">
        <v>36</v>
      </c>
      <c r="E4" s="5" t="s">
        <v>24</v>
      </c>
      <c r="F4" s="5" t="s">
        <v>25</v>
      </c>
      <c r="G4" s="1" t="s">
        <v>26</v>
      </c>
      <c r="H4" s="5" t="s">
        <v>37</v>
      </c>
      <c r="I4" s="5">
        <v>80</v>
      </c>
      <c r="J4" s="5">
        <v>1789</v>
      </c>
      <c r="K4" s="5" t="s">
        <v>28</v>
      </c>
      <c r="L4" s="5" t="s">
        <v>29</v>
      </c>
      <c r="M4" s="1" t="s">
        <v>35</v>
      </c>
      <c r="N4" s="5">
        <v>801911</v>
      </c>
      <c r="O4" s="5" t="s">
        <v>38</v>
      </c>
      <c r="P4" s="1">
        <v>60106</v>
      </c>
      <c r="Q4" s="6" t="s">
        <v>39</v>
      </c>
      <c r="R4" s="1" t="s">
        <v>32</v>
      </c>
      <c r="S4" s="7">
        <f>IF(J4="Não aplicável","N.A.",VLOOKUP(J4,'[1]Lista ONU'!$A$2:$D$2271,3))</f>
        <v>333</v>
      </c>
      <c r="T4" s="7" t="str">
        <f>IF(J4="Não aplicável","N.A.",VLOOKUP(J4,'[1]Lista ONU'!$A$2:$D$2271,4))</f>
        <v>1 L</v>
      </c>
    </row>
    <row r="5" spans="1:20" x14ac:dyDescent="0.25">
      <c r="A5" s="4" t="s">
        <v>20</v>
      </c>
      <c r="B5" s="1" t="s">
        <v>40</v>
      </c>
      <c r="C5" s="1" t="s">
        <v>22</v>
      </c>
      <c r="D5" s="1" t="s">
        <v>41</v>
      </c>
      <c r="E5" s="5" t="s">
        <v>24</v>
      </c>
      <c r="F5" s="8" t="s">
        <v>42</v>
      </c>
      <c r="G5" s="1" t="s">
        <v>26</v>
      </c>
      <c r="H5" s="5" t="s">
        <v>37</v>
      </c>
      <c r="I5" s="5">
        <v>80</v>
      </c>
      <c r="J5" s="5">
        <v>1789</v>
      </c>
      <c r="K5" s="5" t="s">
        <v>28</v>
      </c>
      <c r="L5" s="1" t="s">
        <v>43</v>
      </c>
      <c r="M5" s="1" t="s">
        <v>44</v>
      </c>
      <c r="N5" s="1">
        <v>801911</v>
      </c>
      <c r="O5" s="1" t="s">
        <v>38</v>
      </c>
      <c r="P5" s="1">
        <v>60106</v>
      </c>
      <c r="Q5" s="6" t="s">
        <v>39</v>
      </c>
      <c r="R5" s="1" t="s">
        <v>32</v>
      </c>
      <c r="S5" s="7">
        <f>IF(J5="Não aplicável","N.A.",VLOOKUP(J5,'[1]Lista ONU'!$A$2:$D$2271,3))</f>
        <v>333</v>
      </c>
      <c r="T5" s="7" t="str">
        <f>IF(J5="Não aplicável","N.A.",VLOOKUP(J5,'[1]Lista ONU'!$A$2:$D$2271,4))</f>
        <v>1 L</v>
      </c>
    </row>
    <row r="6" spans="1:20" x14ac:dyDescent="0.25">
      <c r="A6" s="4" t="s">
        <v>20</v>
      </c>
      <c r="B6" s="1" t="s">
        <v>45</v>
      </c>
      <c r="C6" s="1" t="s">
        <v>22</v>
      </c>
      <c r="D6" s="1" t="s">
        <v>46</v>
      </c>
      <c r="E6" s="5" t="s">
        <v>24</v>
      </c>
      <c r="F6" s="5" t="s">
        <v>47</v>
      </c>
      <c r="G6" s="1" t="s">
        <v>26</v>
      </c>
      <c r="H6" s="1" t="s">
        <v>37</v>
      </c>
      <c r="I6" s="1">
        <v>80</v>
      </c>
      <c r="J6" s="5">
        <v>1786</v>
      </c>
      <c r="K6" s="5" t="s">
        <v>28</v>
      </c>
      <c r="L6" s="1" t="s">
        <v>43</v>
      </c>
      <c r="M6" s="1" t="s">
        <v>45</v>
      </c>
      <c r="N6" s="1">
        <v>801911</v>
      </c>
      <c r="O6" s="1" t="s">
        <v>38</v>
      </c>
      <c r="P6" s="1">
        <v>60106</v>
      </c>
      <c r="Q6" s="6" t="s">
        <v>39</v>
      </c>
      <c r="R6" s="1" t="s">
        <v>32</v>
      </c>
      <c r="S6" s="7">
        <f>IF(J6="Não aplicável","N.A.",VLOOKUP(J6,'[1]Lista ONU'!$A$2:$D$2271,3))</f>
        <v>20</v>
      </c>
      <c r="T6" s="7" t="str">
        <f>IF(J6="Não aplicável","N.A.",VLOOKUP(J6,'[1]Lista ONU'!$A$2:$D$2271,4))</f>
        <v>ZERO</v>
      </c>
    </row>
    <row r="7" spans="1:20" x14ac:dyDescent="0.25">
      <c r="A7" s="4" t="s">
        <v>20</v>
      </c>
      <c r="B7" s="1" t="s">
        <v>48</v>
      </c>
      <c r="C7" s="1" t="s">
        <v>22</v>
      </c>
      <c r="D7" s="1" t="s">
        <v>46</v>
      </c>
      <c r="E7" s="5" t="s">
        <v>24</v>
      </c>
      <c r="F7" s="5" t="s">
        <v>47</v>
      </c>
      <c r="G7" s="1" t="s">
        <v>26</v>
      </c>
      <c r="H7" s="1" t="s">
        <v>37</v>
      </c>
      <c r="I7" s="1">
        <v>80</v>
      </c>
      <c r="J7" s="5">
        <v>1830</v>
      </c>
      <c r="K7" s="5" t="s">
        <v>28</v>
      </c>
      <c r="L7" s="1" t="s">
        <v>43</v>
      </c>
      <c r="M7" s="1" t="s">
        <v>49</v>
      </c>
      <c r="N7" s="1">
        <v>801911</v>
      </c>
      <c r="O7" s="1" t="s">
        <v>38</v>
      </c>
      <c r="P7" s="1">
        <v>60106</v>
      </c>
      <c r="Q7" s="6" t="s">
        <v>39</v>
      </c>
      <c r="R7" s="1" t="s">
        <v>32</v>
      </c>
      <c r="S7" s="7">
        <f>IF(J7="Não aplicável","N.A.",VLOOKUP(J7,'[1]Lista ONU'!$A$2:$D$2271,3))</f>
        <v>333</v>
      </c>
      <c r="T7" s="7" t="str">
        <f>IF(J7="Não aplicável","N.A.",VLOOKUP(J7,'[1]Lista ONU'!$A$2:$D$2271,4))</f>
        <v>1 L</v>
      </c>
    </row>
    <row r="8" spans="1:20" x14ac:dyDescent="0.25">
      <c r="A8" s="4" t="s">
        <v>20</v>
      </c>
      <c r="B8" s="1" t="s">
        <v>50</v>
      </c>
      <c r="C8" s="1" t="s">
        <v>22</v>
      </c>
      <c r="D8" s="1" t="s">
        <v>46</v>
      </c>
      <c r="E8" s="5" t="s">
        <v>24</v>
      </c>
      <c r="F8" s="5" t="s">
        <v>47</v>
      </c>
      <c r="G8" s="1" t="s">
        <v>26</v>
      </c>
      <c r="H8" s="1" t="s">
        <v>37</v>
      </c>
      <c r="I8" s="1">
        <v>80</v>
      </c>
      <c r="J8" s="5">
        <v>2796</v>
      </c>
      <c r="K8" s="5" t="s">
        <v>28</v>
      </c>
      <c r="L8" s="1" t="s">
        <v>43</v>
      </c>
      <c r="M8" s="1" t="s">
        <v>51</v>
      </c>
      <c r="N8" s="1">
        <v>801911</v>
      </c>
      <c r="O8" s="1" t="s">
        <v>38</v>
      </c>
      <c r="P8" s="1">
        <v>60106</v>
      </c>
      <c r="Q8" s="6" t="s">
        <v>39</v>
      </c>
      <c r="R8" s="1" t="s">
        <v>32</v>
      </c>
      <c r="S8" s="7">
        <f>IF(J8="Não aplicável","N.A.",VLOOKUP(J8,'[1]Lista ONU'!$A$2:$D$2271,3))</f>
        <v>333</v>
      </c>
      <c r="T8" s="7" t="str">
        <f>IF(J8="Não aplicável","N.A.",VLOOKUP(J8,'[1]Lista ONU'!$A$2:$D$2271,4))</f>
        <v>1 L</v>
      </c>
    </row>
    <row r="9" spans="1:20" x14ac:dyDescent="0.25">
      <c r="A9" s="4" t="s">
        <v>20</v>
      </c>
      <c r="B9" s="1" t="s">
        <v>52</v>
      </c>
      <c r="C9" s="1" t="s">
        <v>22</v>
      </c>
      <c r="D9" s="1" t="s">
        <v>53</v>
      </c>
      <c r="E9" s="5" t="s">
        <v>24</v>
      </c>
      <c r="F9" s="5" t="s">
        <v>54</v>
      </c>
      <c r="G9" s="1" t="s">
        <v>26</v>
      </c>
      <c r="H9" s="5" t="s">
        <v>37</v>
      </c>
      <c r="I9" s="5">
        <v>80</v>
      </c>
      <c r="J9" s="5">
        <v>1760</v>
      </c>
      <c r="K9" s="5" t="s">
        <v>28</v>
      </c>
      <c r="L9" s="1" t="s">
        <v>43</v>
      </c>
      <c r="M9" s="1" t="s">
        <v>55</v>
      </c>
      <c r="N9" s="1">
        <v>801911</v>
      </c>
      <c r="O9" s="1" t="s">
        <v>38</v>
      </c>
      <c r="P9" s="1">
        <v>60106</v>
      </c>
      <c r="Q9" s="6" t="s">
        <v>39</v>
      </c>
      <c r="R9" s="1" t="s">
        <v>32</v>
      </c>
      <c r="S9" s="7">
        <f>IF(J9="Não aplicável","N.A.",VLOOKUP(J9,'[1]Lista ONU'!$A$2:$D$2271,3))</f>
        <v>20</v>
      </c>
      <c r="T9" s="7" t="str">
        <f>IF(J9="Não aplicável","N.A.",VLOOKUP(J9,'[1]Lista ONU'!$A$2:$D$2271,4))</f>
        <v>1 L</v>
      </c>
    </row>
    <row r="10" spans="1:20" x14ac:dyDescent="0.25">
      <c r="A10" s="4" t="s">
        <v>56</v>
      </c>
      <c r="B10" s="1" t="s">
        <v>57</v>
      </c>
      <c r="C10" s="1" t="s">
        <v>58</v>
      </c>
      <c r="D10" s="1" t="s">
        <v>59</v>
      </c>
      <c r="E10" s="5" t="s">
        <v>24</v>
      </c>
      <c r="F10" s="5" t="s">
        <v>60</v>
      </c>
      <c r="G10" s="1" t="s">
        <v>61</v>
      </c>
      <c r="H10" s="5" t="s">
        <v>62</v>
      </c>
      <c r="I10" s="5">
        <v>90</v>
      </c>
      <c r="J10" s="5">
        <v>3082</v>
      </c>
      <c r="K10" s="5" t="s">
        <v>28</v>
      </c>
      <c r="L10" s="1" t="s">
        <v>63</v>
      </c>
      <c r="M10" s="1" t="s">
        <v>64</v>
      </c>
      <c r="N10" s="1" t="s">
        <v>65</v>
      </c>
      <c r="O10" s="1" t="s">
        <v>66</v>
      </c>
      <c r="P10" s="9">
        <v>130507</v>
      </c>
      <c r="Q10" s="6" t="s">
        <v>67</v>
      </c>
      <c r="R10" s="1" t="s">
        <v>32</v>
      </c>
      <c r="S10" s="7">
        <f>IF(J10="Não aplicável","N.A.",VLOOKUP(J10,'[1]Lista ONU'!$A$2:$D$2271,3))</f>
        <v>1000</v>
      </c>
      <c r="T10" s="7" t="str">
        <f>IF(J10="Não aplicável","N.A.",VLOOKUP(J10,'[1]Lista ONU'!$A$2:$D$2271,4))</f>
        <v>5 L</v>
      </c>
    </row>
    <row r="11" spans="1:20" x14ac:dyDescent="0.25">
      <c r="A11" s="4" t="s">
        <v>56</v>
      </c>
      <c r="B11" s="1" t="s">
        <v>68</v>
      </c>
      <c r="C11" s="1" t="s">
        <v>58</v>
      </c>
      <c r="D11" s="1" t="s">
        <v>59</v>
      </c>
      <c r="E11" s="5" t="s">
        <v>24</v>
      </c>
      <c r="F11" s="5" t="s">
        <v>60</v>
      </c>
      <c r="G11" s="1" t="s">
        <v>61</v>
      </c>
      <c r="H11" s="5" t="s">
        <v>62</v>
      </c>
      <c r="I11" s="5">
        <v>90</v>
      </c>
      <c r="J11" s="5">
        <v>3082</v>
      </c>
      <c r="K11" s="5" t="s">
        <v>28</v>
      </c>
      <c r="L11" s="1" t="s">
        <v>63</v>
      </c>
      <c r="M11" s="1" t="s">
        <v>64</v>
      </c>
      <c r="N11" s="1">
        <v>801908</v>
      </c>
      <c r="O11" s="1" t="s">
        <v>66</v>
      </c>
      <c r="P11" s="1">
        <v>130802</v>
      </c>
      <c r="Q11" s="6" t="s">
        <v>69</v>
      </c>
      <c r="R11" s="1" t="s">
        <v>32</v>
      </c>
      <c r="S11" s="7">
        <f>IF(J11="Não aplicável","N.A.",VLOOKUP(J11,'[1]Lista ONU'!$A$2:$D$2271,3))</f>
        <v>1000</v>
      </c>
      <c r="T11" s="7" t="str">
        <f>IF(J11="Não aplicável","N.A.",VLOOKUP(J11,'[1]Lista ONU'!$A$2:$D$2271,4))</f>
        <v>5 L</v>
      </c>
    </row>
    <row r="12" spans="1:20" x14ac:dyDescent="0.25">
      <c r="A12" s="4" t="s">
        <v>20</v>
      </c>
      <c r="B12" s="1" t="s">
        <v>70</v>
      </c>
      <c r="C12" s="1" t="s">
        <v>22</v>
      </c>
      <c r="D12" s="1" t="s">
        <v>71</v>
      </c>
      <c r="E12" s="5" t="s">
        <v>24</v>
      </c>
      <c r="F12" s="5" t="s">
        <v>72</v>
      </c>
      <c r="G12" s="1" t="s">
        <v>73</v>
      </c>
      <c r="H12" s="5" t="s">
        <v>27</v>
      </c>
      <c r="I12" s="5">
        <v>33</v>
      </c>
      <c r="J12" s="5">
        <v>1263</v>
      </c>
      <c r="K12" s="5" t="s">
        <v>28</v>
      </c>
      <c r="L12" s="1" t="s">
        <v>74</v>
      </c>
      <c r="M12" s="1" t="s">
        <v>75</v>
      </c>
      <c r="N12" s="1">
        <v>801910</v>
      </c>
      <c r="O12" s="1" t="s">
        <v>30</v>
      </c>
      <c r="P12" s="1">
        <v>70104</v>
      </c>
      <c r="Q12" s="6" t="s">
        <v>31</v>
      </c>
      <c r="R12" s="1" t="s">
        <v>32</v>
      </c>
      <c r="S12" s="7">
        <f>IF(J12="Não aplicável","N.A.",VLOOKUP(J12,'[1]Lista ONU'!$A$2:$D$2271,3))</f>
        <v>20</v>
      </c>
      <c r="T12" s="7" t="str">
        <f>IF(J12="Não aplicável","N.A.",VLOOKUP(J12,'[1]Lista ONU'!$A$2:$D$2271,4))</f>
        <v>5 L</v>
      </c>
    </row>
    <row r="13" spans="1:20" x14ac:dyDescent="0.25">
      <c r="A13" s="4" t="s">
        <v>20</v>
      </c>
      <c r="B13" s="1" t="s">
        <v>76</v>
      </c>
      <c r="C13" s="1" t="s">
        <v>22</v>
      </c>
      <c r="D13" s="1" t="s">
        <v>77</v>
      </c>
      <c r="E13" s="5" t="s">
        <v>24</v>
      </c>
      <c r="F13" s="5" t="s">
        <v>25</v>
      </c>
      <c r="G13" s="1" t="s">
        <v>26</v>
      </c>
      <c r="H13" s="5" t="s">
        <v>27</v>
      </c>
      <c r="I13" s="5">
        <v>33</v>
      </c>
      <c r="J13" s="5">
        <v>1120</v>
      </c>
      <c r="K13" s="5" t="s">
        <v>28</v>
      </c>
      <c r="L13" s="5" t="s">
        <v>29</v>
      </c>
      <c r="M13" s="5" t="s">
        <v>75</v>
      </c>
      <c r="N13" s="5">
        <v>801910</v>
      </c>
      <c r="O13" s="5" t="s">
        <v>30</v>
      </c>
      <c r="P13" s="1">
        <v>70104</v>
      </c>
      <c r="Q13" s="6" t="s">
        <v>31</v>
      </c>
      <c r="R13" s="1" t="s">
        <v>32</v>
      </c>
      <c r="S13" s="7">
        <f>IF(J13="Não aplicável","N.A.",VLOOKUP(J13,'[1]Lista ONU'!$A$2:$D$2271,3))</f>
        <v>333</v>
      </c>
      <c r="T13" s="7" t="str">
        <f>IF(J13="Não aplicável","N.A.",VLOOKUP(J13,'[1]Lista ONU'!$A$2:$D$2271,4))</f>
        <v>1 L</v>
      </c>
    </row>
    <row r="14" spans="1:20" x14ac:dyDescent="0.25">
      <c r="A14" s="4" t="s">
        <v>20</v>
      </c>
      <c r="B14" s="1" t="s">
        <v>78</v>
      </c>
      <c r="C14" s="1" t="s">
        <v>22</v>
      </c>
      <c r="D14" s="1" t="s">
        <v>79</v>
      </c>
      <c r="E14" s="5" t="s">
        <v>24</v>
      </c>
      <c r="F14" s="5" t="s">
        <v>25</v>
      </c>
      <c r="G14" s="1" t="s">
        <v>26</v>
      </c>
      <c r="H14" s="5" t="s">
        <v>27</v>
      </c>
      <c r="I14" s="5">
        <v>30</v>
      </c>
      <c r="J14" s="5">
        <v>1170</v>
      </c>
      <c r="K14" s="5" t="s">
        <v>28</v>
      </c>
      <c r="L14" s="5" t="s">
        <v>29</v>
      </c>
      <c r="M14" s="5" t="s">
        <v>80</v>
      </c>
      <c r="N14" s="5">
        <v>801910</v>
      </c>
      <c r="O14" s="5" t="s">
        <v>30</v>
      </c>
      <c r="P14" s="1">
        <v>70104</v>
      </c>
      <c r="Q14" s="6" t="s">
        <v>31</v>
      </c>
      <c r="R14" s="1" t="s">
        <v>32</v>
      </c>
      <c r="S14" s="7">
        <f>IF(J14="Não aplicável","N.A.",VLOOKUP(J14,'[1]Lista ONU'!$A$2:$D$2271,3))</f>
        <v>333</v>
      </c>
      <c r="T14" s="7" t="str">
        <f>IF(J14="Não aplicável","N.A.",VLOOKUP(J14,'[1]Lista ONU'!$A$2:$D$2271,4))</f>
        <v>1 L</v>
      </c>
    </row>
    <row r="15" spans="1:20" x14ac:dyDescent="0.25">
      <c r="A15" s="4" t="s">
        <v>20</v>
      </c>
      <c r="B15" s="1" t="s">
        <v>81</v>
      </c>
      <c r="C15" s="1" t="s">
        <v>22</v>
      </c>
      <c r="D15" s="1" t="s">
        <v>82</v>
      </c>
      <c r="E15" s="5" t="s">
        <v>24</v>
      </c>
      <c r="F15" s="5" t="s">
        <v>25</v>
      </c>
      <c r="G15" s="1" t="s">
        <v>83</v>
      </c>
      <c r="H15" s="5" t="s">
        <v>27</v>
      </c>
      <c r="I15" s="5">
        <v>33</v>
      </c>
      <c r="J15" s="5">
        <v>1219</v>
      </c>
      <c r="K15" s="5" t="s">
        <v>28</v>
      </c>
      <c r="L15" s="5" t="s">
        <v>29</v>
      </c>
      <c r="M15" s="5" t="s">
        <v>84</v>
      </c>
      <c r="N15" s="5">
        <v>801910</v>
      </c>
      <c r="O15" s="5" t="s">
        <v>30</v>
      </c>
      <c r="P15" s="1">
        <v>70104</v>
      </c>
      <c r="Q15" s="6" t="s">
        <v>31</v>
      </c>
      <c r="R15" s="1" t="s">
        <v>32</v>
      </c>
      <c r="S15" s="7">
        <f>IF(J15="Não aplicável","N.A.",VLOOKUP(J15,'[1]Lista ONU'!$A$2:$D$2271,3))</f>
        <v>333</v>
      </c>
      <c r="T15" s="7" t="str">
        <f>IF(J15="Não aplicável","N.A.",VLOOKUP(J15,'[1]Lista ONU'!$A$2:$D$2271,4))</f>
        <v>1 L</v>
      </c>
    </row>
    <row r="16" spans="1:20" x14ac:dyDescent="0.25">
      <c r="A16" s="4" t="s">
        <v>20</v>
      </c>
      <c r="B16" s="1" t="s">
        <v>85</v>
      </c>
      <c r="C16" s="1" t="s">
        <v>22</v>
      </c>
      <c r="D16" s="1" t="s">
        <v>86</v>
      </c>
      <c r="E16" s="5" t="s">
        <v>24</v>
      </c>
      <c r="F16" s="5" t="s">
        <v>87</v>
      </c>
      <c r="G16" s="1" t="s">
        <v>88</v>
      </c>
      <c r="H16" s="5" t="s">
        <v>62</v>
      </c>
      <c r="I16" s="5">
        <v>90</v>
      </c>
      <c r="J16" s="5">
        <v>2590</v>
      </c>
      <c r="K16" s="5" t="s">
        <v>28</v>
      </c>
      <c r="L16" s="1" t="s">
        <v>89</v>
      </c>
      <c r="M16" s="5" t="s">
        <v>90</v>
      </c>
      <c r="N16" s="1">
        <v>801890</v>
      </c>
      <c r="O16" s="1" t="s">
        <v>91</v>
      </c>
      <c r="P16" s="1">
        <v>160212</v>
      </c>
      <c r="Q16" s="6" t="s">
        <v>92</v>
      </c>
      <c r="R16" s="1" t="s">
        <v>32</v>
      </c>
      <c r="S16" s="7">
        <f>IF(J16="Não aplicável","N.A.",VLOOKUP(J16,'[1]Lista ONU'!$A$2:$D$2271,3))</f>
        <v>1000</v>
      </c>
      <c r="T16" s="7" t="str">
        <f>IF(J16="Não aplicável","N.A.",VLOOKUP(J16,'[1]Lista ONU'!$A$2:$D$2271,4))</f>
        <v>5 kg</v>
      </c>
    </row>
    <row r="17" spans="1:20" x14ac:dyDescent="0.25">
      <c r="A17" s="4" t="s">
        <v>93</v>
      </c>
      <c r="B17" s="1" t="s">
        <v>94</v>
      </c>
      <c r="C17" s="1" t="s">
        <v>95</v>
      </c>
      <c r="D17" s="1" t="s">
        <v>96</v>
      </c>
      <c r="E17" s="5" t="s">
        <v>24</v>
      </c>
      <c r="F17" s="5" t="s">
        <v>97</v>
      </c>
      <c r="G17" s="1" t="s">
        <v>98</v>
      </c>
      <c r="H17" s="5" t="s">
        <v>99</v>
      </c>
      <c r="I17" s="5">
        <v>60</v>
      </c>
      <c r="J17" s="5">
        <v>2024</v>
      </c>
      <c r="K17" s="5" t="s">
        <v>28</v>
      </c>
      <c r="L17" s="1" t="s">
        <v>100</v>
      </c>
      <c r="M17" s="1" t="s">
        <v>101</v>
      </c>
      <c r="N17" s="1">
        <v>801909</v>
      </c>
      <c r="O17" s="1" t="s">
        <v>102</v>
      </c>
      <c r="P17" s="1">
        <v>170204</v>
      </c>
      <c r="Q17" s="6" t="s">
        <v>103</v>
      </c>
      <c r="R17" s="1" t="s">
        <v>32</v>
      </c>
      <c r="S17" s="7">
        <f>IF(J17="Não aplicável","N.A.",VLOOKUP(J17,'[1]Lista ONU'!$A$2:$D$2271,3))</f>
        <v>20</v>
      </c>
      <c r="T17" s="7" t="str">
        <f>IF(J17="Não aplicável","N.A.",VLOOKUP(J17,'[1]Lista ONU'!$A$2:$D$2271,4))</f>
        <v>100 ml</v>
      </c>
    </row>
    <row r="18" spans="1:20" x14ac:dyDescent="0.25">
      <c r="A18" s="4" t="s">
        <v>104</v>
      </c>
      <c r="B18" s="1" t="s">
        <v>105</v>
      </c>
      <c r="C18" s="1" t="s">
        <v>22</v>
      </c>
      <c r="D18" s="1" t="s">
        <v>106</v>
      </c>
      <c r="E18" s="5" t="s">
        <v>107</v>
      </c>
      <c r="F18" s="5" t="s">
        <v>87</v>
      </c>
      <c r="G18" s="1" t="s">
        <v>108</v>
      </c>
      <c r="H18" s="1" t="s">
        <v>106</v>
      </c>
      <c r="I18" s="1" t="s">
        <v>106</v>
      </c>
      <c r="J18" s="1" t="s">
        <v>106</v>
      </c>
      <c r="K18" s="5" t="s">
        <v>28</v>
      </c>
      <c r="L18" s="1" t="s">
        <v>109</v>
      </c>
      <c r="M18" s="1" t="s">
        <v>110</v>
      </c>
      <c r="N18" s="1">
        <v>378362</v>
      </c>
      <c r="O18" s="1" t="s">
        <v>111</v>
      </c>
      <c r="P18" s="1">
        <v>170201</v>
      </c>
      <c r="Q18" s="6" t="s">
        <v>112</v>
      </c>
      <c r="R18" s="1" t="s">
        <v>113</v>
      </c>
      <c r="S18" s="7" t="str">
        <f>IF(J18="Não aplicável","N.A.",VLOOKUP(J18,'[1]Lista ONU'!$A$2:$D$2271,3))</f>
        <v>N.A.</v>
      </c>
      <c r="T18" s="7" t="str">
        <f>IF(J18="Não aplicável","N.A.",VLOOKUP(J18,'[1]Lista ONU'!$A$2:$D$2271,4))</f>
        <v>N.A.</v>
      </c>
    </row>
    <row r="19" spans="1:20" x14ac:dyDescent="0.25">
      <c r="A19" s="4" t="s">
        <v>114</v>
      </c>
      <c r="B19" s="1" t="s">
        <v>115</v>
      </c>
      <c r="C19" s="1" t="s">
        <v>22</v>
      </c>
      <c r="D19" s="1" t="s">
        <v>106</v>
      </c>
      <c r="E19" s="5" t="s">
        <v>107</v>
      </c>
      <c r="F19" s="5" t="s">
        <v>106</v>
      </c>
      <c r="G19" s="1" t="s">
        <v>116</v>
      </c>
      <c r="H19" s="1" t="s">
        <v>106</v>
      </c>
      <c r="I19" s="1" t="s">
        <v>106</v>
      </c>
      <c r="J19" s="1" t="s">
        <v>106</v>
      </c>
      <c r="K19" s="5" t="s">
        <v>28</v>
      </c>
      <c r="L19" s="1" t="s">
        <v>117</v>
      </c>
      <c r="M19" s="1" t="s">
        <v>110</v>
      </c>
      <c r="N19" s="1">
        <v>1867</v>
      </c>
      <c r="O19" s="1" t="s">
        <v>118</v>
      </c>
      <c r="P19" s="1">
        <v>160216</v>
      </c>
      <c r="Q19" s="6" t="s">
        <v>119</v>
      </c>
      <c r="R19" s="1" t="s">
        <v>113</v>
      </c>
      <c r="S19" s="7" t="str">
        <f>IF(J19="Não aplicável","N.A.",VLOOKUP(J19,'[1]Lista ONU'!$A$2:$D$2271,3))</f>
        <v>N.A.</v>
      </c>
      <c r="T19" s="7" t="str">
        <f>IF(J19="Não aplicável","N.A.",VLOOKUP(J19,'[1]Lista ONU'!$A$2:$D$2271,4))</f>
        <v>N.A.</v>
      </c>
    </row>
    <row r="20" spans="1:20" x14ac:dyDescent="0.25">
      <c r="A20" s="4" t="s">
        <v>20</v>
      </c>
      <c r="B20" s="1" t="s">
        <v>120</v>
      </c>
      <c r="C20" s="1" t="s">
        <v>22</v>
      </c>
      <c r="D20" s="1" t="s">
        <v>59</v>
      </c>
      <c r="E20" s="5" t="s">
        <v>24</v>
      </c>
      <c r="F20" s="5" t="s">
        <v>54</v>
      </c>
      <c r="G20" s="1" t="s">
        <v>73</v>
      </c>
      <c r="H20" s="5" t="s">
        <v>62</v>
      </c>
      <c r="I20" s="5">
        <v>90</v>
      </c>
      <c r="J20">
        <v>3432</v>
      </c>
      <c r="K20" s="5" t="s">
        <v>28</v>
      </c>
      <c r="L20" s="1" t="s">
        <v>121</v>
      </c>
      <c r="M20" s="1" t="s">
        <v>122</v>
      </c>
      <c r="N20" s="1">
        <v>801902</v>
      </c>
      <c r="O20" s="1" t="s">
        <v>123</v>
      </c>
      <c r="P20" s="1">
        <v>170502</v>
      </c>
      <c r="Q20" s="6" t="s">
        <v>124</v>
      </c>
      <c r="R20" s="1" t="s">
        <v>32</v>
      </c>
      <c r="S20" s="7" t="str">
        <f>IF(J20="Não aplicável","N.A.",VLOOKUP(J20,'[1]Lista ONU'!$A$2:$D$2271,3))</f>
        <v>ZERO</v>
      </c>
      <c r="T20" s="7" t="str">
        <f>IF(J20="Não aplicável","N.A.",VLOOKUP(J20,'[1]Lista ONU'!$A$2:$D$2271,4))</f>
        <v>1 kg</v>
      </c>
    </row>
    <row r="21" spans="1:20" x14ac:dyDescent="0.25">
      <c r="A21" s="4" t="s">
        <v>20</v>
      </c>
      <c r="B21" s="1" t="s">
        <v>125</v>
      </c>
      <c r="C21" s="1" t="s">
        <v>22</v>
      </c>
      <c r="D21" s="1" t="s">
        <v>59</v>
      </c>
      <c r="E21" s="5" t="s">
        <v>24</v>
      </c>
      <c r="F21" s="5" t="s">
        <v>54</v>
      </c>
      <c r="G21" s="1" t="s">
        <v>73</v>
      </c>
      <c r="H21" s="5" t="s">
        <v>62</v>
      </c>
      <c r="I21" s="5">
        <v>90</v>
      </c>
      <c r="J21" s="5">
        <v>2315</v>
      </c>
      <c r="K21" s="5" t="s">
        <v>28</v>
      </c>
      <c r="L21" s="1" t="s">
        <v>121</v>
      </c>
      <c r="M21" s="1" t="s">
        <v>126</v>
      </c>
      <c r="N21" s="1">
        <v>801902</v>
      </c>
      <c r="O21" s="1" t="s">
        <v>123</v>
      </c>
      <c r="P21" s="1">
        <v>130301</v>
      </c>
      <c r="Q21" s="6" t="s">
        <v>127</v>
      </c>
      <c r="R21" s="1" t="s">
        <v>32</v>
      </c>
      <c r="S21" s="7" t="str">
        <f>IF(J21="Não aplicável","N.A.",VLOOKUP(J21,'[1]Lista ONU'!$A$2:$D$2271,3))</f>
        <v>ZERO</v>
      </c>
      <c r="T21" s="7" t="str">
        <f>IF(J21="Não aplicável","N.A.",VLOOKUP(J21,'[1]Lista ONU'!$A$2:$D$2271,4))</f>
        <v>1 L</v>
      </c>
    </row>
    <row r="22" spans="1:20" x14ac:dyDescent="0.25">
      <c r="A22" s="4" t="s">
        <v>128</v>
      </c>
      <c r="B22" s="1" t="s">
        <v>129</v>
      </c>
      <c r="C22" s="1" t="s">
        <v>22</v>
      </c>
      <c r="D22" s="1" t="s">
        <v>130</v>
      </c>
      <c r="E22" s="5" t="s">
        <v>24</v>
      </c>
      <c r="F22" s="5" t="s">
        <v>106</v>
      </c>
      <c r="G22" s="1" t="s">
        <v>131</v>
      </c>
      <c r="H22" s="5" t="s">
        <v>62</v>
      </c>
      <c r="I22" s="5">
        <v>90</v>
      </c>
      <c r="J22" s="5">
        <v>3077</v>
      </c>
      <c r="K22" s="5" t="s">
        <v>28</v>
      </c>
      <c r="L22" s="1" t="s">
        <v>132</v>
      </c>
      <c r="M22" s="1" t="s">
        <v>133</v>
      </c>
      <c r="N22" s="1">
        <v>801897</v>
      </c>
      <c r="O22" s="1" t="s">
        <v>134</v>
      </c>
      <c r="P22" s="1">
        <v>150202</v>
      </c>
      <c r="Q22" s="6" t="s">
        <v>135</v>
      </c>
      <c r="R22" s="1" t="s">
        <v>32</v>
      </c>
      <c r="S22" s="7">
        <f>IF(J22="Não aplicável","N.A.",VLOOKUP(J22,'[1]Lista ONU'!$A$2:$D$2271,3))</f>
        <v>1000</v>
      </c>
      <c r="T22" s="7" t="str">
        <f>IF(J22="Não aplicável","N.A.",VLOOKUP(J22,'[1]Lista ONU'!$A$2:$D$2271,4))</f>
        <v>5 kg</v>
      </c>
    </row>
    <row r="23" spans="1:20" x14ac:dyDescent="0.25">
      <c r="A23" s="4" t="s">
        <v>128</v>
      </c>
      <c r="B23" s="1" t="s">
        <v>136</v>
      </c>
      <c r="C23" s="1" t="s">
        <v>22</v>
      </c>
      <c r="D23" s="1" t="s">
        <v>137</v>
      </c>
      <c r="E23" s="5" t="s">
        <v>24</v>
      </c>
      <c r="F23" s="5" t="s">
        <v>106</v>
      </c>
      <c r="G23" s="1" t="s">
        <v>138</v>
      </c>
      <c r="H23" s="5" t="s">
        <v>62</v>
      </c>
      <c r="I23" s="5">
        <v>90</v>
      </c>
      <c r="J23" s="5">
        <v>3077</v>
      </c>
      <c r="K23" s="5" t="s">
        <v>28</v>
      </c>
      <c r="L23" s="1" t="s">
        <v>132</v>
      </c>
      <c r="M23" s="1" t="s">
        <v>133</v>
      </c>
      <c r="N23" s="1">
        <v>801897</v>
      </c>
      <c r="O23" s="1" t="s">
        <v>134</v>
      </c>
      <c r="P23" s="1">
        <v>150202</v>
      </c>
      <c r="Q23" s="6" t="s">
        <v>135</v>
      </c>
      <c r="R23" s="1" t="s">
        <v>32</v>
      </c>
      <c r="S23" s="7">
        <f>IF(J23="Não aplicável","N.A.",VLOOKUP(J23,'[1]Lista ONU'!$A$2:$D$2271,3))</f>
        <v>1000</v>
      </c>
      <c r="T23" s="7" t="str">
        <f>IF(J23="Não aplicável","N.A.",VLOOKUP(J23,'[1]Lista ONU'!$A$2:$D$2271,4))</f>
        <v>5 kg</v>
      </c>
    </row>
    <row r="24" spans="1:20" x14ac:dyDescent="0.25">
      <c r="A24" s="4" t="s">
        <v>139</v>
      </c>
      <c r="B24" s="1" t="s">
        <v>140</v>
      </c>
      <c r="C24" s="1" t="s">
        <v>22</v>
      </c>
      <c r="D24" s="1" t="s">
        <v>141</v>
      </c>
      <c r="E24" s="5" t="s">
        <v>24</v>
      </c>
      <c r="F24" s="5" t="s">
        <v>142</v>
      </c>
      <c r="G24" s="1" t="s">
        <v>143</v>
      </c>
      <c r="H24" s="5" t="s">
        <v>37</v>
      </c>
      <c r="I24" s="5">
        <v>80</v>
      </c>
      <c r="J24" s="5">
        <v>3028</v>
      </c>
      <c r="K24" s="5" t="s">
        <v>28</v>
      </c>
      <c r="L24" s="1" t="s">
        <v>109</v>
      </c>
      <c r="M24" s="1" t="s">
        <v>144</v>
      </c>
      <c r="N24" s="1">
        <v>907654</v>
      </c>
      <c r="O24" s="1" t="s">
        <v>145</v>
      </c>
      <c r="P24" s="1" t="s">
        <v>110</v>
      </c>
      <c r="Q24" s="6" t="s">
        <v>110</v>
      </c>
      <c r="R24" s="1" t="s">
        <v>32</v>
      </c>
      <c r="S24" s="7">
        <f>IF(J24="Não aplicável","N.A.",VLOOKUP(J24,'[1]Lista ONU'!$A$2:$D$2271,3))</f>
        <v>1000</v>
      </c>
      <c r="T24" s="7" t="str">
        <f>IF(J24="Não aplicável","N.A.",VLOOKUP(J24,'[1]Lista ONU'!$A$2:$D$2271,4))</f>
        <v>2 kg</v>
      </c>
    </row>
    <row r="25" spans="1:20" x14ac:dyDescent="0.25">
      <c r="A25" s="4" t="s">
        <v>139</v>
      </c>
      <c r="B25" s="1" t="s">
        <v>146</v>
      </c>
      <c r="C25" s="1" t="s">
        <v>22</v>
      </c>
      <c r="D25" s="1" t="s">
        <v>106</v>
      </c>
      <c r="E25" s="5" t="s">
        <v>24</v>
      </c>
      <c r="F25" s="5" t="s">
        <v>142</v>
      </c>
      <c r="G25" s="1" t="s">
        <v>147</v>
      </c>
      <c r="H25" s="5" t="s">
        <v>62</v>
      </c>
      <c r="I25" s="5">
        <v>90</v>
      </c>
      <c r="J25" s="5">
        <v>3090</v>
      </c>
      <c r="K25" s="5" t="s">
        <v>28</v>
      </c>
      <c r="L25" s="1" t="s">
        <v>109</v>
      </c>
      <c r="M25" s="1" t="s">
        <v>133</v>
      </c>
      <c r="N25" s="1">
        <v>801892</v>
      </c>
      <c r="O25" s="1" t="s">
        <v>149</v>
      </c>
      <c r="P25" s="1">
        <v>160602</v>
      </c>
      <c r="Q25" s="6" t="s">
        <v>150</v>
      </c>
      <c r="R25" s="1" t="s">
        <v>32</v>
      </c>
      <c r="S25" s="7">
        <f>IF(J25="Não aplicável","N.A.",VLOOKUP(J25,'[1]Lista ONU'!$A$2:$D$2271,3))</f>
        <v>333</v>
      </c>
      <c r="T25" s="7" t="str">
        <f>IF(J25="Não aplicável","N.A.",VLOOKUP(J25,'[1]Lista ONU'!$A$2:$D$2271,4))</f>
        <v>ZERO</v>
      </c>
    </row>
    <row r="26" spans="1:20" x14ac:dyDescent="0.25">
      <c r="A26" s="4" t="s">
        <v>139</v>
      </c>
      <c r="B26" s="8" t="s">
        <v>151</v>
      </c>
      <c r="C26" s="1" t="s">
        <v>22</v>
      </c>
      <c r="D26" s="1" t="s">
        <v>141</v>
      </c>
      <c r="E26" s="5" t="s">
        <v>24</v>
      </c>
      <c r="F26" s="5" t="s">
        <v>142</v>
      </c>
      <c r="G26" s="1" t="s">
        <v>143</v>
      </c>
      <c r="H26" s="5" t="s">
        <v>37</v>
      </c>
      <c r="I26" s="5">
        <v>80</v>
      </c>
      <c r="J26" s="5">
        <v>3028</v>
      </c>
      <c r="K26" s="5" t="s">
        <v>28</v>
      </c>
      <c r="L26" s="1" t="s">
        <v>109</v>
      </c>
      <c r="M26" s="1" t="s">
        <v>55</v>
      </c>
      <c r="N26" s="1">
        <v>913052</v>
      </c>
      <c r="O26" s="1" t="s">
        <v>152</v>
      </c>
      <c r="P26" s="1" t="s">
        <v>110</v>
      </c>
      <c r="Q26" s="6" t="s">
        <v>110</v>
      </c>
      <c r="R26" s="1" t="s">
        <v>32</v>
      </c>
      <c r="S26" s="7">
        <f>IF(J26="Não aplicável","N.A.",VLOOKUP(J26,'[1]Lista ONU'!$A$2:$D$2271,3))</f>
        <v>1000</v>
      </c>
      <c r="T26" s="7" t="str">
        <f>IF(J26="Não aplicável","N.A.",VLOOKUP(J26,'[1]Lista ONU'!$A$2:$D$2271,4))</f>
        <v>2 kg</v>
      </c>
    </row>
    <row r="27" spans="1:20" x14ac:dyDescent="0.25">
      <c r="A27" s="4" t="s">
        <v>139</v>
      </c>
      <c r="B27" s="8" t="s">
        <v>153</v>
      </c>
      <c r="C27" s="1" t="s">
        <v>22</v>
      </c>
      <c r="D27" s="1" t="s">
        <v>141</v>
      </c>
      <c r="E27" s="5" t="s">
        <v>24</v>
      </c>
      <c r="F27" s="5" t="s">
        <v>142</v>
      </c>
      <c r="G27" s="1" t="s">
        <v>143</v>
      </c>
      <c r="H27" s="5" t="s">
        <v>37</v>
      </c>
      <c r="I27" s="5">
        <v>80</v>
      </c>
      <c r="J27" s="5">
        <v>3028</v>
      </c>
      <c r="K27" s="5" t="s">
        <v>28</v>
      </c>
      <c r="L27" s="1" t="s">
        <v>109</v>
      </c>
      <c r="M27" s="1" t="s">
        <v>55</v>
      </c>
      <c r="N27" s="1">
        <v>801892</v>
      </c>
      <c r="O27" s="1" t="s">
        <v>149</v>
      </c>
      <c r="P27" s="1">
        <v>160602</v>
      </c>
      <c r="Q27" s="6" t="s">
        <v>150</v>
      </c>
      <c r="R27" s="1" t="s">
        <v>32</v>
      </c>
      <c r="S27" s="7">
        <f>IF(J27="Não aplicável","N.A.",VLOOKUP(J27,'[1]Lista ONU'!$A$2:$D$2271,3))</f>
        <v>1000</v>
      </c>
      <c r="T27" s="7" t="str">
        <f>IF(J27="Não aplicável","N.A.",VLOOKUP(J27,'[1]Lista ONU'!$A$2:$D$2271,4))</f>
        <v>2 kg</v>
      </c>
    </row>
    <row r="28" spans="1:20" x14ac:dyDescent="0.25">
      <c r="A28" s="4" t="s">
        <v>139</v>
      </c>
      <c r="B28" s="8" t="s">
        <v>154</v>
      </c>
      <c r="C28" s="1" t="s">
        <v>22</v>
      </c>
      <c r="D28" s="1" t="s">
        <v>141</v>
      </c>
      <c r="E28" s="5" t="s">
        <v>24</v>
      </c>
      <c r="F28" s="5" t="s">
        <v>142</v>
      </c>
      <c r="G28" s="1" t="s">
        <v>143</v>
      </c>
      <c r="H28" s="5" t="s">
        <v>37</v>
      </c>
      <c r="I28" s="5">
        <v>80</v>
      </c>
      <c r="J28" s="5">
        <v>3028</v>
      </c>
      <c r="K28" s="5" t="s">
        <v>28</v>
      </c>
      <c r="L28" s="1" t="s">
        <v>109</v>
      </c>
      <c r="M28" s="1" t="s">
        <v>55</v>
      </c>
      <c r="N28" s="1">
        <v>801892</v>
      </c>
      <c r="O28" s="1" t="s">
        <v>149</v>
      </c>
      <c r="P28" s="1">
        <v>160602</v>
      </c>
      <c r="Q28" s="6" t="s">
        <v>150</v>
      </c>
      <c r="R28" s="1" t="s">
        <v>32</v>
      </c>
      <c r="S28" s="7">
        <f>IF(J28="Não aplicável","N.A.",VLOOKUP(J28,'[1]Lista ONU'!$A$2:$D$2271,3))</f>
        <v>1000</v>
      </c>
      <c r="T28" s="7" t="str">
        <f>IF(J28="Não aplicável","N.A.",VLOOKUP(J28,'[1]Lista ONU'!$A$2:$D$2271,4))</f>
        <v>2 kg</v>
      </c>
    </row>
    <row r="29" spans="1:20" x14ac:dyDescent="0.25">
      <c r="A29" s="4" t="s">
        <v>139</v>
      </c>
      <c r="B29" s="1" t="s">
        <v>155</v>
      </c>
      <c r="C29" s="1" t="s">
        <v>22</v>
      </c>
      <c r="D29" s="1" t="s">
        <v>141</v>
      </c>
      <c r="E29" s="5" t="s">
        <v>24</v>
      </c>
      <c r="F29" s="5" t="s">
        <v>142</v>
      </c>
      <c r="G29" s="1" t="s">
        <v>143</v>
      </c>
      <c r="H29" s="5" t="s">
        <v>37</v>
      </c>
      <c r="I29" s="5">
        <v>80</v>
      </c>
      <c r="J29" s="5">
        <v>3028</v>
      </c>
      <c r="K29" s="5" t="s">
        <v>28</v>
      </c>
      <c r="L29" s="1" t="s">
        <v>109</v>
      </c>
      <c r="M29" s="1" t="s">
        <v>55</v>
      </c>
      <c r="N29" s="1">
        <v>801892</v>
      </c>
      <c r="O29" s="1" t="s">
        <v>149</v>
      </c>
      <c r="P29" s="1">
        <v>160602</v>
      </c>
      <c r="Q29" s="6" t="s">
        <v>150</v>
      </c>
      <c r="R29" s="1" t="s">
        <v>32</v>
      </c>
      <c r="S29" s="7">
        <f>IF(J29="Não aplicável","N.A.",VLOOKUP(J29,'[1]Lista ONU'!$A$2:$D$2271,3))</f>
        <v>1000</v>
      </c>
      <c r="T29" s="7" t="str">
        <f>IF(J29="Não aplicável","N.A.",VLOOKUP(J29,'[1]Lista ONU'!$A$2:$D$2271,4))</f>
        <v>2 kg</v>
      </c>
    </row>
    <row r="30" spans="1:20" x14ac:dyDescent="0.25">
      <c r="A30" s="4" t="s">
        <v>139</v>
      </c>
      <c r="B30" s="8" t="s">
        <v>156</v>
      </c>
      <c r="C30" s="1" t="s">
        <v>22</v>
      </c>
      <c r="D30" s="1" t="s">
        <v>106</v>
      </c>
      <c r="E30" s="5" t="s">
        <v>24</v>
      </c>
      <c r="F30" s="5" t="s">
        <v>142</v>
      </c>
      <c r="G30" s="1" t="s">
        <v>143</v>
      </c>
      <c r="H30" s="5" t="s">
        <v>37</v>
      </c>
      <c r="I30" s="5">
        <v>80</v>
      </c>
      <c r="J30" s="5">
        <v>2794</v>
      </c>
      <c r="K30" s="5" t="s">
        <v>28</v>
      </c>
      <c r="L30" s="1" t="s">
        <v>109</v>
      </c>
      <c r="M30" s="1" t="s">
        <v>55</v>
      </c>
      <c r="N30" s="1">
        <v>92684</v>
      </c>
      <c r="O30" s="1" t="s">
        <v>157</v>
      </c>
      <c r="P30" s="1">
        <v>160601</v>
      </c>
      <c r="Q30" s="6" t="s">
        <v>158</v>
      </c>
      <c r="R30" s="1" t="s">
        <v>32</v>
      </c>
      <c r="S30" s="7">
        <f>IF(J30="Não aplicável","N.A.",VLOOKUP(J30,'[1]Lista ONU'!$A$2:$D$2271,3))</f>
        <v>1000</v>
      </c>
      <c r="T30" s="7" t="str">
        <f>IF(J30="Não aplicável","N.A.",VLOOKUP(J30,'[1]Lista ONU'!$A$2:$D$2271,4))</f>
        <v>1 L</v>
      </c>
    </row>
    <row r="31" spans="1:20" x14ac:dyDescent="0.25">
      <c r="A31" s="4" t="s">
        <v>139</v>
      </c>
      <c r="B31" s="1" t="s">
        <v>159</v>
      </c>
      <c r="C31" s="1" t="s">
        <v>22</v>
      </c>
      <c r="D31" s="1" t="s">
        <v>160</v>
      </c>
      <c r="E31" s="5" t="s">
        <v>24</v>
      </c>
      <c r="F31" s="5" t="s">
        <v>161</v>
      </c>
      <c r="G31" s="1" t="s">
        <v>143</v>
      </c>
      <c r="H31" s="5" t="s">
        <v>62</v>
      </c>
      <c r="I31" s="5">
        <v>90</v>
      </c>
      <c r="J31" s="5">
        <v>3171</v>
      </c>
      <c r="K31" s="5" t="s">
        <v>28</v>
      </c>
      <c r="L31" s="1" t="s">
        <v>109</v>
      </c>
      <c r="M31" s="1" t="s">
        <v>133</v>
      </c>
      <c r="N31" s="1">
        <v>92684</v>
      </c>
      <c r="O31" s="1" t="s">
        <v>157</v>
      </c>
      <c r="P31" s="1">
        <v>160601</v>
      </c>
      <c r="Q31" s="6" t="s">
        <v>158</v>
      </c>
      <c r="R31" s="1" t="s">
        <v>32</v>
      </c>
      <c r="S31" s="7">
        <f>IF(J31="Não aplicável","N.A.",VLOOKUP(J31,'[1]Lista ONU'!$A$2:$D$2271,3))</f>
        <v>1000</v>
      </c>
      <c r="T31" s="7" t="str">
        <f>IF(J31="Não aplicável","N.A.",VLOOKUP(J31,'[1]Lista ONU'!$A$2:$D$2271,4))</f>
        <v>1 kg</v>
      </c>
    </row>
    <row r="32" spans="1:20" x14ac:dyDescent="0.25">
      <c r="A32" s="4" t="s">
        <v>139</v>
      </c>
      <c r="B32" s="8" t="s">
        <v>162</v>
      </c>
      <c r="C32" s="1" t="s">
        <v>22</v>
      </c>
      <c r="D32" s="1" t="s">
        <v>163</v>
      </c>
      <c r="E32" s="5" t="s">
        <v>24</v>
      </c>
      <c r="F32" s="5" t="s">
        <v>164</v>
      </c>
      <c r="G32" s="1" t="s">
        <v>165</v>
      </c>
      <c r="H32" s="5" t="s">
        <v>37</v>
      </c>
      <c r="I32" s="5">
        <v>80</v>
      </c>
      <c r="J32" s="5">
        <v>2794</v>
      </c>
      <c r="K32" s="5" t="s">
        <v>28</v>
      </c>
      <c r="L32" s="1" t="s">
        <v>109</v>
      </c>
      <c r="M32" s="1" t="s">
        <v>55</v>
      </c>
      <c r="N32" s="1">
        <v>92684</v>
      </c>
      <c r="O32" s="1" t="s">
        <v>157</v>
      </c>
      <c r="P32" s="1">
        <v>160601</v>
      </c>
      <c r="Q32" s="6" t="s">
        <v>158</v>
      </c>
      <c r="R32" s="1" t="s">
        <v>32</v>
      </c>
      <c r="S32" s="7">
        <f>IF(J32="Não aplicável","N.A.",VLOOKUP(J32,'[1]Lista ONU'!$A$2:$D$2271,3))</f>
        <v>1000</v>
      </c>
      <c r="T32" s="7" t="str">
        <f>IF(J32="Não aplicável","N.A.",VLOOKUP(J32,'[1]Lista ONU'!$A$2:$D$2271,4))</f>
        <v>1 L</v>
      </c>
    </row>
    <row r="33" spans="1:20" x14ac:dyDescent="0.25">
      <c r="A33" s="4" t="s">
        <v>139</v>
      </c>
      <c r="B33" s="8" t="s">
        <v>166</v>
      </c>
      <c r="C33" s="1" t="s">
        <v>22</v>
      </c>
      <c r="D33" s="1" t="s">
        <v>163</v>
      </c>
      <c r="E33" s="5" t="s">
        <v>24</v>
      </c>
      <c r="F33" s="5" t="s">
        <v>164</v>
      </c>
      <c r="G33" s="1" t="s">
        <v>167</v>
      </c>
      <c r="H33" s="5" t="s">
        <v>37</v>
      </c>
      <c r="I33" s="5">
        <v>80</v>
      </c>
      <c r="J33" s="5">
        <v>2794</v>
      </c>
      <c r="K33" s="5" t="s">
        <v>28</v>
      </c>
      <c r="L33" s="1" t="s">
        <v>109</v>
      </c>
      <c r="M33" s="1" t="s">
        <v>55</v>
      </c>
      <c r="N33" s="1">
        <v>92684</v>
      </c>
      <c r="O33" s="1" t="s">
        <v>157</v>
      </c>
      <c r="P33" s="1">
        <v>160601</v>
      </c>
      <c r="Q33" s="6" t="s">
        <v>158</v>
      </c>
      <c r="R33" s="1" t="s">
        <v>32</v>
      </c>
      <c r="S33" s="7">
        <f>IF(J33="Não aplicável","N.A.",VLOOKUP(J33,'[1]Lista ONU'!$A$2:$D$2271,3))</f>
        <v>1000</v>
      </c>
      <c r="T33" s="7" t="str">
        <f>IF(J33="Não aplicável","N.A.",VLOOKUP(J33,'[1]Lista ONU'!$A$2:$D$2271,4))</f>
        <v>1 L</v>
      </c>
    </row>
    <row r="34" spans="1:20" x14ac:dyDescent="0.25">
      <c r="A34" s="4" t="s">
        <v>139</v>
      </c>
      <c r="B34" s="1" t="s">
        <v>168</v>
      </c>
      <c r="C34" s="1" t="s">
        <v>22</v>
      </c>
      <c r="D34" s="1" t="s">
        <v>169</v>
      </c>
      <c r="E34" s="5" t="s">
        <v>24</v>
      </c>
      <c r="F34" s="5" t="s">
        <v>170</v>
      </c>
      <c r="G34" s="1" t="s">
        <v>165</v>
      </c>
      <c r="H34" s="5" t="s">
        <v>171</v>
      </c>
      <c r="I34" s="5">
        <v>423</v>
      </c>
      <c r="J34" s="5">
        <v>3292</v>
      </c>
      <c r="K34" s="5" t="s">
        <v>28</v>
      </c>
      <c r="L34" s="1" t="s">
        <v>109</v>
      </c>
      <c r="M34" s="1" t="s">
        <v>172</v>
      </c>
      <c r="N34" s="1">
        <v>92684</v>
      </c>
      <c r="O34" s="1" t="s">
        <v>157</v>
      </c>
      <c r="P34" s="1">
        <v>160601</v>
      </c>
      <c r="Q34" s="6" t="s">
        <v>158</v>
      </c>
      <c r="R34" s="1" t="s">
        <v>32</v>
      </c>
      <c r="S34" s="7">
        <f>IF(J34="Não aplicável","N.A.",VLOOKUP(J34,'[1]Lista ONU'!$A$2:$D$2271,3))</f>
        <v>333</v>
      </c>
      <c r="T34" s="7" t="str">
        <f>IF(J34="Não aplicável","N.A.",VLOOKUP(J34,'[1]Lista ONU'!$A$2:$D$2271,4))</f>
        <v>ZERO</v>
      </c>
    </row>
    <row r="35" spans="1:20" x14ac:dyDescent="0.25">
      <c r="A35" s="4" t="s">
        <v>139</v>
      </c>
      <c r="B35" s="1" t="s">
        <v>173</v>
      </c>
      <c r="C35" s="1" t="s">
        <v>22</v>
      </c>
      <c r="D35" s="1" t="s">
        <v>169</v>
      </c>
      <c r="E35" s="5" t="s">
        <v>24</v>
      </c>
      <c r="F35" s="5" t="s">
        <v>170</v>
      </c>
      <c r="G35" s="1" t="s">
        <v>143</v>
      </c>
      <c r="H35" s="5" t="s">
        <v>62</v>
      </c>
      <c r="I35" s="5">
        <v>90</v>
      </c>
      <c r="J35" s="5">
        <v>3090</v>
      </c>
      <c r="K35" s="5" t="s">
        <v>28</v>
      </c>
      <c r="L35" s="1" t="s">
        <v>109</v>
      </c>
      <c r="M35" s="1" t="s">
        <v>174</v>
      </c>
      <c r="N35" s="1">
        <v>92684</v>
      </c>
      <c r="O35" s="1" t="s">
        <v>157</v>
      </c>
      <c r="P35" s="1">
        <v>160601</v>
      </c>
      <c r="Q35" s="6" t="s">
        <v>158</v>
      </c>
      <c r="R35" s="1" t="s">
        <v>32</v>
      </c>
      <c r="S35" s="7">
        <f>IF(J35="Não aplicável","N.A.",VLOOKUP(J35,'[1]Lista ONU'!$A$2:$D$2271,3))</f>
        <v>333</v>
      </c>
      <c r="T35" s="7" t="str">
        <f>IF(J35="Não aplicável","N.A.",VLOOKUP(J35,'[1]Lista ONU'!$A$2:$D$2271,4))</f>
        <v>ZERO</v>
      </c>
    </row>
    <row r="36" spans="1:20" x14ac:dyDescent="0.25">
      <c r="A36" s="4" t="s">
        <v>139</v>
      </c>
      <c r="B36" s="1" t="s">
        <v>175</v>
      </c>
      <c r="C36" s="1" t="s">
        <v>22</v>
      </c>
      <c r="D36" s="1" t="s">
        <v>141</v>
      </c>
      <c r="E36" s="5" t="s">
        <v>24</v>
      </c>
      <c r="F36" s="5" t="s">
        <v>142</v>
      </c>
      <c r="G36" s="1" t="s">
        <v>98</v>
      </c>
      <c r="H36" s="1" t="s">
        <v>37</v>
      </c>
      <c r="I36" s="1">
        <v>80</v>
      </c>
      <c r="J36" s="5">
        <v>3028</v>
      </c>
      <c r="K36" s="5" t="s">
        <v>28</v>
      </c>
      <c r="L36" s="1" t="s">
        <v>109</v>
      </c>
      <c r="M36" s="1" t="s">
        <v>55</v>
      </c>
      <c r="N36" s="1">
        <v>801892</v>
      </c>
      <c r="O36" s="1" t="s">
        <v>176</v>
      </c>
      <c r="P36" s="1">
        <v>160602</v>
      </c>
      <c r="Q36" s="6" t="s">
        <v>150</v>
      </c>
      <c r="R36" s="1" t="s">
        <v>32</v>
      </c>
      <c r="S36" s="7">
        <f>IF(J36="Não aplicável","N.A.",VLOOKUP(J36,'[1]Lista ONU'!$A$2:$D$2271,3))</f>
        <v>1000</v>
      </c>
      <c r="T36" s="7" t="str">
        <f>IF(J36="Não aplicável","N.A.",VLOOKUP(J36,'[1]Lista ONU'!$A$2:$D$2271,4))</f>
        <v>2 kg</v>
      </c>
    </row>
    <row r="37" spans="1:20" x14ac:dyDescent="0.25">
      <c r="A37" s="4" t="s">
        <v>139</v>
      </c>
      <c r="B37" s="1" t="s">
        <v>177</v>
      </c>
      <c r="C37" s="1" t="s">
        <v>22</v>
      </c>
      <c r="D37" s="1" t="s">
        <v>178</v>
      </c>
      <c r="E37" s="5" t="s">
        <v>24</v>
      </c>
      <c r="F37" s="5" t="s">
        <v>179</v>
      </c>
      <c r="G37" s="1" t="s">
        <v>167</v>
      </c>
      <c r="H37" s="5" t="s">
        <v>37</v>
      </c>
      <c r="I37" s="5">
        <v>80</v>
      </c>
      <c r="J37" s="5">
        <v>3028</v>
      </c>
      <c r="K37" s="5" t="s">
        <v>28</v>
      </c>
      <c r="L37" s="1" t="s">
        <v>109</v>
      </c>
      <c r="M37" s="1" t="s">
        <v>55</v>
      </c>
      <c r="N37" s="1">
        <v>92684</v>
      </c>
      <c r="O37" s="1" t="s">
        <v>157</v>
      </c>
      <c r="P37" s="1">
        <v>160601</v>
      </c>
      <c r="Q37" s="6" t="s">
        <v>158</v>
      </c>
      <c r="R37" s="1" t="s">
        <v>32</v>
      </c>
      <c r="S37" s="7">
        <f>IF(J37="Não aplicável","N.A.",VLOOKUP(J37,'[1]Lista ONU'!$A$2:$D$2271,3))</f>
        <v>1000</v>
      </c>
      <c r="T37" s="7" t="str">
        <f>IF(J37="Não aplicável","N.A.",VLOOKUP(J37,'[1]Lista ONU'!$A$2:$D$2271,4))</f>
        <v>2 kg</v>
      </c>
    </row>
    <row r="38" spans="1:20" x14ac:dyDescent="0.25">
      <c r="A38" s="4" t="s">
        <v>139</v>
      </c>
      <c r="B38" s="1" t="s">
        <v>180</v>
      </c>
      <c r="C38" s="1" t="s">
        <v>22</v>
      </c>
      <c r="D38" s="1" t="s">
        <v>160</v>
      </c>
      <c r="E38" s="5" t="s">
        <v>24</v>
      </c>
      <c r="F38" s="5" t="s">
        <v>179</v>
      </c>
      <c r="G38" s="1" t="s">
        <v>167</v>
      </c>
      <c r="H38" s="5" t="s">
        <v>37</v>
      </c>
      <c r="I38" s="5">
        <v>80</v>
      </c>
      <c r="J38" s="5">
        <v>2800</v>
      </c>
      <c r="K38" s="5" t="s">
        <v>28</v>
      </c>
      <c r="L38" s="1" t="s">
        <v>109</v>
      </c>
      <c r="M38" s="1" t="s">
        <v>55</v>
      </c>
      <c r="N38" s="1">
        <v>92684</v>
      </c>
      <c r="O38" s="1" t="s">
        <v>157</v>
      </c>
      <c r="P38" s="1">
        <v>160601</v>
      </c>
      <c r="Q38" s="6" t="s">
        <v>158</v>
      </c>
      <c r="R38" s="1" t="s">
        <v>32</v>
      </c>
      <c r="S38" s="7">
        <f>IF(J38="Não aplicável","N.A.",VLOOKUP(J38,'[1]Lista ONU'!$A$2:$D$2271,3))</f>
        <v>1000</v>
      </c>
      <c r="T38" s="7" t="str">
        <f>IF(J38="Não aplicável","N.A.",VLOOKUP(J38,'[1]Lista ONU'!$A$2:$D$2271,4))</f>
        <v>1 L</v>
      </c>
    </row>
    <row r="39" spans="1:20" x14ac:dyDescent="0.25">
      <c r="A39" s="4" t="s">
        <v>139</v>
      </c>
      <c r="B39" s="1" t="s">
        <v>181</v>
      </c>
      <c r="C39" s="1" t="s">
        <v>22</v>
      </c>
      <c r="D39" s="1" t="s">
        <v>160</v>
      </c>
      <c r="E39" s="5" t="s">
        <v>24</v>
      </c>
      <c r="F39" s="5" t="s">
        <v>170</v>
      </c>
      <c r="G39" s="1" t="s">
        <v>167</v>
      </c>
      <c r="H39" s="5" t="s">
        <v>37</v>
      </c>
      <c r="I39" s="5">
        <v>80</v>
      </c>
      <c r="J39" s="5">
        <v>2797</v>
      </c>
      <c r="K39" s="5" t="s">
        <v>28</v>
      </c>
      <c r="L39" s="1" t="s">
        <v>109</v>
      </c>
      <c r="M39" s="1" t="s">
        <v>55</v>
      </c>
      <c r="N39" s="1">
        <v>92684</v>
      </c>
      <c r="O39" s="1" t="s">
        <v>157</v>
      </c>
      <c r="P39" s="1">
        <v>160601</v>
      </c>
      <c r="Q39" s="6" t="s">
        <v>158</v>
      </c>
      <c r="R39" s="1" t="s">
        <v>32</v>
      </c>
      <c r="S39" s="7">
        <f>IF(J39="Não aplicável","N.A.",VLOOKUP(J39,'[1]Lista ONU'!$A$2:$D$2271,3))</f>
        <v>333</v>
      </c>
      <c r="T39" s="7" t="str">
        <f>IF(J39="Não aplicável","N.A.",VLOOKUP(J39,'[1]Lista ONU'!$A$2:$D$2271,4))</f>
        <v>1 L</v>
      </c>
    </row>
    <row r="40" spans="1:20" x14ac:dyDescent="0.25">
      <c r="A40" s="4" t="s">
        <v>139</v>
      </c>
      <c r="B40" s="8" t="s">
        <v>182</v>
      </c>
      <c r="C40" s="1" t="s">
        <v>22</v>
      </c>
      <c r="D40" s="1" t="s">
        <v>163</v>
      </c>
      <c r="E40" s="5" t="s">
        <v>24</v>
      </c>
      <c r="F40" s="5" t="s">
        <v>164</v>
      </c>
      <c r="G40" s="1" t="s">
        <v>167</v>
      </c>
      <c r="H40" s="5" t="s">
        <v>37</v>
      </c>
      <c r="I40" s="5">
        <v>80</v>
      </c>
      <c r="J40" s="5">
        <v>2794</v>
      </c>
      <c r="K40" s="5" t="s">
        <v>28</v>
      </c>
      <c r="L40" s="1" t="s">
        <v>109</v>
      </c>
      <c r="M40" s="1" t="s">
        <v>55</v>
      </c>
      <c r="N40" s="1">
        <v>92684</v>
      </c>
      <c r="O40" s="1" t="s">
        <v>157</v>
      </c>
      <c r="P40" s="1">
        <v>160601</v>
      </c>
      <c r="Q40" s="6" t="s">
        <v>158</v>
      </c>
      <c r="R40" s="1" t="s">
        <v>32</v>
      </c>
      <c r="S40" s="7">
        <f>IF(J40="Não aplicável","N.A.",VLOOKUP(J40,'[1]Lista ONU'!$A$2:$D$2271,3))</f>
        <v>1000</v>
      </c>
      <c r="T40" s="7" t="str">
        <f>IF(J40="Não aplicável","N.A.",VLOOKUP(J40,'[1]Lista ONU'!$A$2:$D$2271,4))</f>
        <v>1 L</v>
      </c>
    </row>
    <row r="41" spans="1:20" x14ac:dyDescent="0.25">
      <c r="A41" s="4" t="s">
        <v>20</v>
      </c>
      <c r="B41" s="1" t="s">
        <v>183</v>
      </c>
      <c r="C41" s="1" t="s">
        <v>22</v>
      </c>
      <c r="D41" s="1" t="s">
        <v>184</v>
      </c>
      <c r="E41" s="5" t="s">
        <v>24</v>
      </c>
      <c r="F41" s="5" t="s">
        <v>185</v>
      </c>
      <c r="G41" s="1" t="s">
        <v>147</v>
      </c>
      <c r="H41" s="1" t="s">
        <v>186</v>
      </c>
      <c r="I41" s="1">
        <v>20</v>
      </c>
      <c r="J41" s="5">
        <v>1950</v>
      </c>
      <c r="K41" s="5" t="s">
        <v>28</v>
      </c>
      <c r="L41" s="1" t="s">
        <v>43</v>
      </c>
      <c r="M41" s="1" t="s">
        <v>187</v>
      </c>
      <c r="N41" s="1">
        <v>801896</v>
      </c>
      <c r="O41" s="1" t="s">
        <v>188</v>
      </c>
      <c r="P41" s="1">
        <v>170204</v>
      </c>
      <c r="Q41" s="6" t="s">
        <v>103</v>
      </c>
      <c r="R41" s="1" t="s">
        <v>32</v>
      </c>
      <c r="S41" s="7" t="str">
        <f>IF(J41="Não aplicável","N.A.",VLOOKUP(J41,'[1]Lista ONU'!$A$2:$D$2271,3))</f>
        <v>N.A.</v>
      </c>
      <c r="T41" s="7" t="str">
        <f>IF(J41="Não aplicável","N.A.",VLOOKUP(J41,'[1]Lista ONU'!$A$2:$D$2271,4))</f>
        <v>Ver PE 277</v>
      </c>
    </row>
    <row r="42" spans="1:20" x14ac:dyDescent="0.25">
      <c r="A42" s="4" t="s">
        <v>20</v>
      </c>
      <c r="B42" s="1" t="s">
        <v>189</v>
      </c>
      <c r="C42" s="1" t="s">
        <v>22</v>
      </c>
      <c r="D42" s="1" t="s">
        <v>190</v>
      </c>
      <c r="E42" s="5" t="s">
        <v>24</v>
      </c>
      <c r="F42" s="5" t="s">
        <v>25</v>
      </c>
      <c r="G42" s="1" t="s">
        <v>26</v>
      </c>
      <c r="H42" s="5" t="s">
        <v>27</v>
      </c>
      <c r="I42" s="5">
        <v>33</v>
      </c>
      <c r="J42" s="5">
        <v>1114</v>
      </c>
      <c r="K42" s="5" t="s">
        <v>28</v>
      </c>
      <c r="L42" s="5" t="s">
        <v>29</v>
      </c>
      <c r="M42" s="5" t="s">
        <v>189</v>
      </c>
      <c r="N42" s="5">
        <v>801910</v>
      </c>
      <c r="O42" s="5" t="s">
        <v>191</v>
      </c>
      <c r="P42" s="1">
        <v>70104</v>
      </c>
      <c r="Q42" s="6" t="s">
        <v>31</v>
      </c>
      <c r="R42" s="1" t="s">
        <v>32</v>
      </c>
      <c r="S42" s="7">
        <f>IF(J42="Não aplicável","N.A.",VLOOKUP(J42,'[1]Lista ONU'!$A$2:$D$2271,3))</f>
        <v>333</v>
      </c>
      <c r="T42" s="7" t="str">
        <f>IF(J42="Não aplicável","N.A.",VLOOKUP(J42,'[1]Lista ONU'!$A$2:$D$2271,4))</f>
        <v>1 L</v>
      </c>
    </row>
    <row r="43" spans="1:20" x14ac:dyDescent="0.25">
      <c r="A43" s="4" t="s">
        <v>20</v>
      </c>
      <c r="B43" s="1" t="s">
        <v>192</v>
      </c>
      <c r="C43" s="1" t="s">
        <v>22</v>
      </c>
      <c r="D43" s="1" t="s">
        <v>193</v>
      </c>
      <c r="E43" s="5" t="s">
        <v>24</v>
      </c>
      <c r="F43" s="5" t="s">
        <v>25</v>
      </c>
      <c r="G43" s="1" t="s">
        <v>26</v>
      </c>
      <c r="H43" s="5" t="s">
        <v>27</v>
      </c>
      <c r="I43" s="5">
        <v>33</v>
      </c>
      <c r="J43" s="5">
        <v>1268</v>
      </c>
      <c r="K43" s="5" t="s">
        <v>28</v>
      </c>
      <c r="L43" s="5" t="s">
        <v>194</v>
      </c>
      <c r="M43" s="5" t="s">
        <v>75</v>
      </c>
      <c r="N43" s="5">
        <v>801910</v>
      </c>
      <c r="O43" s="5" t="s">
        <v>195</v>
      </c>
      <c r="P43" s="1">
        <v>70104</v>
      </c>
      <c r="Q43" s="6" t="s">
        <v>31</v>
      </c>
      <c r="R43" s="1" t="s">
        <v>32</v>
      </c>
      <c r="S43" s="7">
        <f>IF(J43="Não aplicável","N.A.",VLOOKUP(J43,'[1]Lista ONU'!$A$2:$D$2271,3))</f>
        <v>20</v>
      </c>
      <c r="T43" s="7" t="str">
        <f>IF(J43="Não aplicável","N.A.",VLOOKUP(J43,'[1]Lista ONU'!$A$2:$D$2271,4))</f>
        <v>1 L</v>
      </c>
    </row>
    <row r="44" spans="1:20" x14ac:dyDescent="0.25">
      <c r="A44" s="4" t="s">
        <v>20</v>
      </c>
      <c r="B44" s="1" t="s">
        <v>196</v>
      </c>
      <c r="C44" s="1" t="s">
        <v>22</v>
      </c>
      <c r="D44" s="1" t="s">
        <v>197</v>
      </c>
      <c r="E44" s="5" t="s">
        <v>107</v>
      </c>
      <c r="F44" s="5" t="s">
        <v>25</v>
      </c>
      <c r="G44" s="1" t="s">
        <v>198</v>
      </c>
      <c r="H44" s="1" t="s">
        <v>106</v>
      </c>
      <c r="I44" s="1" t="s">
        <v>106</v>
      </c>
      <c r="J44" s="1" t="s">
        <v>106</v>
      </c>
      <c r="K44" s="5" t="s">
        <v>28</v>
      </c>
      <c r="L44" s="5" t="s">
        <v>199</v>
      </c>
      <c r="M44" s="5" t="s">
        <v>110</v>
      </c>
      <c r="N44" s="5" t="s">
        <v>110</v>
      </c>
      <c r="O44" s="5" t="s">
        <v>110</v>
      </c>
      <c r="P44" s="1" t="s">
        <v>110</v>
      </c>
      <c r="Q44" s="6" t="s">
        <v>110</v>
      </c>
      <c r="R44" s="1" t="s">
        <v>32</v>
      </c>
      <c r="S44" s="7" t="str">
        <f>IF(J44="Não aplicável","N.A.",VLOOKUP(J44,'[1]Lista ONU'!$A$2:$D$2271,3))</f>
        <v>N.A.</v>
      </c>
      <c r="T44" s="7" t="str">
        <f>IF(J44="Não aplicável","N.A.",VLOOKUP(J44,'[1]Lista ONU'!$A$2:$D$2271,4))</f>
        <v>N.A.</v>
      </c>
    </row>
    <row r="45" spans="1:20" x14ac:dyDescent="0.25">
      <c r="A45" s="4" t="s">
        <v>20</v>
      </c>
      <c r="B45" s="1" t="s">
        <v>200</v>
      </c>
      <c r="C45" s="1" t="s">
        <v>22</v>
      </c>
      <c r="D45" s="1" t="s">
        <v>59</v>
      </c>
      <c r="E45" s="5" t="s">
        <v>24</v>
      </c>
      <c r="F45" s="5" t="s">
        <v>54</v>
      </c>
      <c r="G45" s="1" t="s">
        <v>73</v>
      </c>
      <c r="H45" s="5" t="s">
        <v>62</v>
      </c>
      <c r="I45" s="5">
        <v>90</v>
      </c>
      <c r="J45" s="5">
        <v>2315</v>
      </c>
      <c r="K45" s="5" t="s">
        <v>28</v>
      </c>
      <c r="L45" s="1" t="s">
        <v>121</v>
      </c>
      <c r="M45" s="1" t="s">
        <v>126</v>
      </c>
      <c r="N45" s="1">
        <v>801904</v>
      </c>
      <c r="O45" s="1" t="s">
        <v>201</v>
      </c>
      <c r="P45" s="1">
        <v>130301</v>
      </c>
      <c r="Q45" s="6" t="s">
        <v>127</v>
      </c>
      <c r="R45" s="1" t="s">
        <v>32</v>
      </c>
      <c r="S45" s="7" t="str">
        <f>IF(J45="Não aplicável","N.A.",VLOOKUP(J45,'[1]Lista ONU'!$A$2:$D$2271,3))</f>
        <v>ZERO</v>
      </c>
      <c r="T45" s="7" t="str">
        <f>IF(J45="Não aplicável","N.A.",VLOOKUP(J45,'[1]Lista ONU'!$A$2:$D$2271,4))</f>
        <v>1 L</v>
      </c>
    </row>
    <row r="46" spans="1:20" x14ac:dyDescent="0.25">
      <c r="A46" s="4" t="s">
        <v>20</v>
      </c>
      <c r="B46" s="1" t="s">
        <v>202</v>
      </c>
      <c r="C46" s="1" t="s">
        <v>22</v>
      </c>
      <c r="D46" s="1" t="s">
        <v>203</v>
      </c>
      <c r="E46" s="5" t="s">
        <v>24</v>
      </c>
      <c r="F46" s="5" t="s">
        <v>106</v>
      </c>
      <c r="G46" s="1" t="s">
        <v>73</v>
      </c>
      <c r="H46" s="5" t="s">
        <v>99</v>
      </c>
      <c r="I46" s="5">
        <v>90</v>
      </c>
      <c r="J46" s="5">
        <v>2291</v>
      </c>
      <c r="K46" s="5" t="s">
        <v>28</v>
      </c>
      <c r="L46" s="1" t="s">
        <v>109</v>
      </c>
      <c r="M46" s="1" t="s">
        <v>204</v>
      </c>
      <c r="N46" s="5" t="s">
        <v>110</v>
      </c>
      <c r="O46" s="5" t="s">
        <v>110</v>
      </c>
      <c r="P46" s="1" t="s">
        <v>110</v>
      </c>
      <c r="Q46" s="6" t="s">
        <v>110</v>
      </c>
      <c r="R46" s="1" t="s">
        <v>32</v>
      </c>
      <c r="S46" s="7">
        <f>IF(J46="Não aplicável","N.A.",VLOOKUP(J46,'[1]Lista ONU'!$A$2:$D$2271,3))</f>
        <v>333</v>
      </c>
      <c r="T46" s="7" t="str">
        <f>IF(J46="Não aplicável","N.A.",VLOOKUP(J46,'[1]Lista ONU'!$A$2:$D$2271,4))</f>
        <v>5 kg</v>
      </c>
    </row>
    <row r="47" spans="1:20" x14ac:dyDescent="0.25">
      <c r="A47" s="4" t="s">
        <v>128</v>
      </c>
      <c r="B47" s="1" t="s">
        <v>205</v>
      </c>
      <c r="C47" s="1" t="s">
        <v>22</v>
      </c>
      <c r="D47" s="1" t="s">
        <v>130</v>
      </c>
      <c r="E47" s="5" t="s">
        <v>24</v>
      </c>
      <c r="F47" s="5" t="s">
        <v>106</v>
      </c>
      <c r="G47" s="1" t="s">
        <v>131</v>
      </c>
      <c r="H47" s="5" t="s">
        <v>62</v>
      </c>
      <c r="I47" s="5">
        <v>90</v>
      </c>
      <c r="J47" s="5">
        <v>3077</v>
      </c>
      <c r="K47" s="5" t="s">
        <v>28</v>
      </c>
      <c r="L47" s="1" t="s">
        <v>132</v>
      </c>
      <c r="M47" s="1" t="s">
        <v>133</v>
      </c>
      <c r="N47" s="1">
        <v>801897</v>
      </c>
      <c r="O47" s="1" t="s">
        <v>134</v>
      </c>
      <c r="P47" s="1">
        <v>150202</v>
      </c>
      <c r="Q47" s="6" t="s">
        <v>135</v>
      </c>
      <c r="R47" s="1" t="s">
        <v>32</v>
      </c>
      <c r="S47" s="7">
        <f>IF(J47="Não aplicável","N.A.",VLOOKUP(J47,'[1]Lista ONU'!$A$2:$D$2271,3))</f>
        <v>1000</v>
      </c>
      <c r="T47" s="7" t="str">
        <f>IF(J47="Não aplicável","N.A.",VLOOKUP(J47,'[1]Lista ONU'!$A$2:$D$2271,4))</f>
        <v>5 kg</v>
      </c>
    </row>
    <row r="48" spans="1:20" x14ac:dyDescent="0.25">
      <c r="A48" s="4" t="s">
        <v>128</v>
      </c>
      <c r="B48" s="1" t="s">
        <v>206</v>
      </c>
      <c r="C48" s="1" t="s">
        <v>22</v>
      </c>
      <c r="D48" s="1" t="s">
        <v>106</v>
      </c>
      <c r="E48" s="5" t="s">
        <v>107</v>
      </c>
      <c r="F48" s="5" t="s">
        <v>106</v>
      </c>
      <c r="G48" s="1" t="s">
        <v>207</v>
      </c>
      <c r="H48" s="1" t="s">
        <v>106</v>
      </c>
      <c r="I48" s="1" t="s">
        <v>106</v>
      </c>
      <c r="J48" s="1" t="s">
        <v>106</v>
      </c>
      <c r="K48" s="5" t="s">
        <v>28</v>
      </c>
      <c r="L48" s="1" t="s">
        <v>132</v>
      </c>
      <c r="M48" s="1" t="s">
        <v>133</v>
      </c>
      <c r="N48" s="1">
        <v>801897</v>
      </c>
      <c r="O48" s="1" t="s">
        <v>134</v>
      </c>
      <c r="P48" s="1">
        <v>150202</v>
      </c>
      <c r="Q48" s="6" t="s">
        <v>135</v>
      </c>
      <c r="R48" s="1" t="s">
        <v>32</v>
      </c>
      <c r="S48" s="7" t="str">
        <f>IF(J48="Não aplicável","N.A.",VLOOKUP(J48,'[1]Lista ONU'!$A$2:$D$2271,3))</f>
        <v>N.A.</v>
      </c>
      <c r="T48" s="7" t="str">
        <f>IF(J48="Não aplicável","N.A.",VLOOKUP(J48,'[1]Lista ONU'!$A$2:$D$2271,4))</f>
        <v>N.A.</v>
      </c>
    </row>
    <row r="49" spans="1:20" x14ac:dyDescent="0.25">
      <c r="A49" s="4" t="s">
        <v>128</v>
      </c>
      <c r="B49" s="1" t="s">
        <v>208</v>
      </c>
      <c r="C49" s="1" t="s">
        <v>22</v>
      </c>
      <c r="D49" s="1" t="s">
        <v>209</v>
      </c>
      <c r="E49" s="5" t="s">
        <v>24</v>
      </c>
      <c r="F49" s="5" t="s">
        <v>106</v>
      </c>
      <c r="G49" s="1" t="s">
        <v>131</v>
      </c>
      <c r="H49" s="5" t="s">
        <v>62</v>
      </c>
      <c r="I49" s="5">
        <v>90</v>
      </c>
      <c r="J49" s="5">
        <v>3077</v>
      </c>
      <c r="K49" s="5" t="s">
        <v>28</v>
      </c>
      <c r="L49" s="1" t="s">
        <v>132</v>
      </c>
      <c r="M49" s="1" t="s">
        <v>133</v>
      </c>
      <c r="N49" s="1">
        <v>801897</v>
      </c>
      <c r="O49" s="1" t="s">
        <v>134</v>
      </c>
      <c r="P49" s="1">
        <v>150202</v>
      </c>
      <c r="Q49" s="6" t="s">
        <v>135</v>
      </c>
      <c r="R49" s="1" t="s">
        <v>32</v>
      </c>
      <c r="S49" s="7">
        <f>IF(J49="Não aplicável","N.A.",VLOOKUP(J49,'[1]Lista ONU'!$A$2:$D$2271,3))</f>
        <v>1000</v>
      </c>
      <c r="T49" s="7" t="str">
        <f>IF(J49="Não aplicável","N.A.",VLOOKUP(J49,'[1]Lista ONU'!$A$2:$D$2271,4))</f>
        <v>5 kg</v>
      </c>
    </row>
    <row r="50" spans="1:20" x14ac:dyDescent="0.25">
      <c r="A50" s="4" t="s">
        <v>56</v>
      </c>
      <c r="B50" s="1" t="s">
        <v>210</v>
      </c>
      <c r="C50" s="1" t="s">
        <v>22</v>
      </c>
      <c r="D50" s="1" t="s">
        <v>59</v>
      </c>
      <c r="E50" s="5" t="s">
        <v>24</v>
      </c>
      <c r="F50" s="5" t="s">
        <v>54</v>
      </c>
      <c r="G50" s="1" t="s">
        <v>73</v>
      </c>
      <c r="H50" s="5" t="s">
        <v>62</v>
      </c>
      <c r="I50" s="1">
        <v>90</v>
      </c>
      <c r="J50" s="5">
        <v>3082</v>
      </c>
      <c r="K50" s="5" t="s">
        <v>28</v>
      </c>
      <c r="L50" s="1" t="s">
        <v>132</v>
      </c>
      <c r="M50" s="1" t="s">
        <v>64</v>
      </c>
      <c r="N50" s="1">
        <v>801908</v>
      </c>
      <c r="O50" s="1" t="s">
        <v>66</v>
      </c>
      <c r="P50" s="1">
        <v>130802</v>
      </c>
      <c r="Q50" s="6" t="s">
        <v>69</v>
      </c>
      <c r="R50" s="1" t="s">
        <v>32</v>
      </c>
      <c r="S50" s="7">
        <f>IF(J50="Não aplicável","N.A.",VLOOKUP(J50,'[1]Lista ONU'!$A$2:$D$2271,3))</f>
        <v>1000</v>
      </c>
      <c r="T50" s="7" t="str">
        <f>IF(J50="Não aplicável","N.A.",VLOOKUP(J50,'[1]Lista ONU'!$A$2:$D$2271,4))</f>
        <v>5 L</v>
      </c>
    </row>
    <row r="51" spans="1:20" x14ac:dyDescent="0.25">
      <c r="A51" s="4" t="s">
        <v>20</v>
      </c>
      <c r="B51" s="1" t="s">
        <v>211</v>
      </c>
      <c r="C51" s="1" t="s">
        <v>22</v>
      </c>
      <c r="D51" s="1" t="s">
        <v>106</v>
      </c>
      <c r="E51" s="5" t="s">
        <v>24</v>
      </c>
      <c r="F51" s="5" t="s">
        <v>25</v>
      </c>
      <c r="G51" s="1" t="s">
        <v>73</v>
      </c>
      <c r="H51" s="5" t="s">
        <v>62</v>
      </c>
      <c r="I51" s="1">
        <v>90</v>
      </c>
      <c r="J51" s="5">
        <v>3077</v>
      </c>
      <c r="K51" s="5" t="s">
        <v>28</v>
      </c>
      <c r="L51" s="1" t="s">
        <v>132</v>
      </c>
      <c r="M51" s="1" t="s">
        <v>133</v>
      </c>
      <c r="N51" s="5" t="s">
        <v>110</v>
      </c>
      <c r="O51" s="1" t="s">
        <v>110</v>
      </c>
      <c r="P51" s="1" t="s">
        <v>110</v>
      </c>
      <c r="Q51" s="6" t="s">
        <v>110</v>
      </c>
      <c r="R51" s="1" t="s">
        <v>32</v>
      </c>
      <c r="S51" s="7">
        <f>IF(J51="Não aplicável","N.A.",VLOOKUP(J51,'[1]Lista ONU'!$A$2:$D$2271,3))</f>
        <v>1000</v>
      </c>
      <c r="T51" s="7" t="str">
        <f>IF(J51="Não aplicável","N.A.",VLOOKUP(J51,'[1]Lista ONU'!$A$2:$D$2271,4))</f>
        <v>5 kg</v>
      </c>
    </row>
    <row r="52" spans="1:20" x14ac:dyDescent="0.25">
      <c r="A52" s="4" t="s">
        <v>56</v>
      </c>
      <c r="B52" s="1" t="s">
        <v>212</v>
      </c>
      <c r="C52" s="1" t="s">
        <v>22</v>
      </c>
      <c r="D52" s="1" t="s">
        <v>59</v>
      </c>
      <c r="E52" s="5" t="s">
        <v>24</v>
      </c>
      <c r="F52" s="5" t="s">
        <v>60</v>
      </c>
      <c r="G52" s="1" t="s">
        <v>73</v>
      </c>
      <c r="H52" s="5" t="s">
        <v>62</v>
      </c>
      <c r="I52" s="1">
        <v>90</v>
      </c>
      <c r="J52" s="5">
        <v>3077</v>
      </c>
      <c r="K52" s="5" t="s">
        <v>28</v>
      </c>
      <c r="L52" s="1" t="s">
        <v>132</v>
      </c>
      <c r="M52" s="1" t="s">
        <v>133</v>
      </c>
      <c r="N52" s="1">
        <v>801894</v>
      </c>
      <c r="O52" s="1" t="s">
        <v>213</v>
      </c>
      <c r="P52" s="3">
        <v>170503</v>
      </c>
      <c r="Q52" s="6" t="s">
        <v>214</v>
      </c>
      <c r="R52" s="1" t="s">
        <v>32</v>
      </c>
      <c r="S52" s="7">
        <f>IF(J52="Não aplicável","N.A.",VLOOKUP(J52,'[1]Lista ONU'!$A$2:$D$2271,3))</f>
        <v>1000</v>
      </c>
      <c r="T52" s="7" t="str">
        <f>IF(J52="Não aplicável","N.A.",VLOOKUP(J52,'[1]Lista ONU'!$A$2:$D$2271,4))</f>
        <v>5 kg</v>
      </c>
    </row>
    <row r="53" spans="1:20" x14ac:dyDescent="0.25">
      <c r="A53" s="4" t="s">
        <v>215</v>
      </c>
      <c r="B53" s="1" t="s">
        <v>216</v>
      </c>
      <c r="C53" s="1" t="s">
        <v>22</v>
      </c>
      <c r="D53" s="1" t="s">
        <v>106</v>
      </c>
      <c r="E53" s="5" t="s">
        <v>107</v>
      </c>
      <c r="F53" s="5" t="s">
        <v>25</v>
      </c>
      <c r="G53" s="1" t="s">
        <v>217</v>
      </c>
      <c r="H53" s="1" t="s">
        <v>106</v>
      </c>
      <c r="I53" s="1" t="s">
        <v>106</v>
      </c>
      <c r="J53" s="1" t="s">
        <v>106</v>
      </c>
      <c r="K53" s="5" t="s">
        <v>28</v>
      </c>
      <c r="L53" s="1" t="s">
        <v>113</v>
      </c>
      <c r="M53" s="1" t="s">
        <v>110</v>
      </c>
      <c r="N53" s="5" t="s">
        <v>110</v>
      </c>
      <c r="O53" s="1" t="s">
        <v>110</v>
      </c>
      <c r="P53" s="1">
        <v>170411</v>
      </c>
      <c r="Q53" s="6" t="s">
        <v>218</v>
      </c>
      <c r="R53" s="1" t="s">
        <v>113</v>
      </c>
      <c r="S53" s="7" t="str">
        <f>IF(J53="Não aplicável","N.A.",VLOOKUP(J53,'[1]Lista ONU'!$A$2:$D$2271,3))</f>
        <v>N.A.</v>
      </c>
      <c r="T53" s="7" t="str">
        <f>IF(J53="Não aplicável","N.A.",VLOOKUP(J53,'[1]Lista ONU'!$A$2:$D$2271,4))</f>
        <v>N.A.</v>
      </c>
    </row>
    <row r="54" spans="1:20" x14ac:dyDescent="0.25">
      <c r="A54" s="4" t="s">
        <v>215</v>
      </c>
      <c r="B54" s="1" t="s">
        <v>219</v>
      </c>
      <c r="C54" s="1" t="s">
        <v>22</v>
      </c>
      <c r="D54" s="1" t="s">
        <v>106</v>
      </c>
      <c r="E54" s="5" t="s">
        <v>107</v>
      </c>
      <c r="F54" s="5" t="s">
        <v>25</v>
      </c>
      <c r="G54" s="1" t="s">
        <v>217</v>
      </c>
      <c r="H54" s="1" t="s">
        <v>106</v>
      </c>
      <c r="I54" s="1" t="s">
        <v>106</v>
      </c>
      <c r="J54" s="1" t="s">
        <v>106</v>
      </c>
      <c r="K54" s="5" t="s">
        <v>28</v>
      </c>
      <c r="L54" s="1" t="s">
        <v>113</v>
      </c>
      <c r="M54" s="1" t="s">
        <v>110</v>
      </c>
      <c r="N54" s="5" t="s">
        <v>110</v>
      </c>
      <c r="O54" s="1" t="s">
        <v>220</v>
      </c>
      <c r="P54" s="1">
        <v>170402</v>
      </c>
      <c r="Q54" s="6" t="s">
        <v>221</v>
      </c>
      <c r="R54" s="1" t="s">
        <v>113</v>
      </c>
      <c r="S54" s="7" t="str">
        <f>IF(J54="Não aplicável","N.A.",VLOOKUP(J54,'[1]Lista ONU'!$A$2:$D$2271,3))</f>
        <v>N.A.</v>
      </c>
      <c r="T54" s="7" t="str">
        <f>IF(J54="Não aplicável","N.A.",VLOOKUP(J54,'[1]Lista ONU'!$A$2:$D$2271,4))</f>
        <v>N.A.</v>
      </c>
    </row>
    <row r="55" spans="1:20" x14ac:dyDescent="0.25">
      <c r="A55" s="4" t="s">
        <v>20</v>
      </c>
      <c r="B55" s="1" t="s">
        <v>222</v>
      </c>
      <c r="C55" s="1" t="s">
        <v>22</v>
      </c>
      <c r="D55" s="1" t="s">
        <v>86</v>
      </c>
      <c r="E55" s="5" t="s">
        <v>24</v>
      </c>
      <c r="F55" s="5" t="s">
        <v>87</v>
      </c>
      <c r="G55" s="1" t="s">
        <v>223</v>
      </c>
      <c r="H55" s="5" t="s">
        <v>62</v>
      </c>
      <c r="I55" s="1">
        <v>90</v>
      </c>
      <c r="J55" s="1">
        <v>2590</v>
      </c>
      <c r="K55" s="5" t="s">
        <v>28</v>
      </c>
      <c r="L55" s="1" t="s">
        <v>89</v>
      </c>
      <c r="M55" s="1" t="s">
        <v>224</v>
      </c>
      <c r="N55" s="1">
        <v>801890</v>
      </c>
      <c r="O55" s="1" t="s">
        <v>91</v>
      </c>
      <c r="P55" s="1">
        <v>160212</v>
      </c>
      <c r="Q55" s="6" t="s">
        <v>92</v>
      </c>
      <c r="R55" s="1" t="s">
        <v>32</v>
      </c>
      <c r="S55" s="7">
        <f>IF(J55="Não aplicável","N.A.",VLOOKUP(J55,'[1]Lista ONU'!$A$2:$D$2271,3))</f>
        <v>1000</v>
      </c>
      <c r="T55" s="7" t="str">
        <f>IF(J55="Não aplicável","N.A.",VLOOKUP(J55,'[1]Lista ONU'!$A$2:$D$2271,4))</f>
        <v>5 kg</v>
      </c>
    </row>
    <row r="56" spans="1:20" x14ac:dyDescent="0.25">
      <c r="A56" s="4" t="s">
        <v>128</v>
      </c>
      <c r="B56" s="1" t="s">
        <v>225</v>
      </c>
      <c r="C56" s="1" t="s">
        <v>22</v>
      </c>
      <c r="D56" s="1" t="s">
        <v>209</v>
      </c>
      <c r="E56" s="5" t="s">
        <v>24</v>
      </c>
      <c r="F56" s="5" t="s">
        <v>106</v>
      </c>
      <c r="G56" s="1" t="s">
        <v>131</v>
      </c>
      <c r="H56" s="5" t="s">
        <v>62</v>
      </c>
      <c r="I56" s="5">
        <v>90</v>
      </c>
      <c r="J56" s="5">
        <v>3077</v>
      </c>
      <c r="K56" s="5" t="s">
        <v>28</v>
      </c>
      <c r="L56" s="1" t="s">
        <v>132</v>
      </c>
      <c r="M56" s="1" t="s">
        <v>133</v>
      </c>
      <c r="N56" s="1">
        <v>801897</v>
      </c>
      <c r="O56" s="1" t="s">
        <v>134</v>
      </c>
      <c r="P56" s="1">
        <v>150202</v>
      </c>
      <c r="Q56" s="6" t="s">
        <v>135</v>
      </c>
      <c r="R56" s="1" t="s">
        <v>32</v>
      </c>
      <c r="S56" s="7">
        <f>IF(J56="Não aplicável","N.A.",VLOOKUP(J56,'[1]Lista ONU'!$A$2:$D$2271,3))</f>
        <v>1000</v>
      </c>
      <c r="T56" s="7" t="str">
        <f>IF(J56="Não aplicável","N.A.",VLOOKUP(J56,'[1]Lista ONU'!$A$2:$D$2271,4))</f>
        <v>5 kg</v>
      </c>
    </row>
    <row r="57" spans="1:20" x14ac:dyDescent="0.25">
      <c r="A57" s="4" t="s">
        <v>128</v>
      </c>
      <c r="B57" s="1" t="s">
        <v>226</v>
      </c>
      <c r="C57" s="1" t="s">
        <v>22</v>
      </c>
      <c r="D57" s="1" t="s">
        <v>209</v>
      </c>
      <c r="E57" s="5" t="s">
        <v>24</v>
      </c>
      <c r="F57" s="5" t="s">
        <v>106</v>
      </c>
      <c r="G57" s="1" t="s">
        <v>131</v>
      </c>
      <c r="H57" s="5" t="s">
        <v>62</v>
      </c>
      <c r="I57" s="5">
        <v>90</v>
      </c>
      <c r="J57" s="5">
        <v>3077</v>
      </c>
      <c r="K57" s="5" t="s">
        <v>28</v>
      </c>
      <c r="L57" s="1" t="s">
        <v>132</v>
      </c>
      <c r="M57" s="1" t="s">
        <v>133</v>
      </c>
      <c r="N57" s="1">
        <v>801897</v>
      </c>
      <c r="O57" s="1" t="s">
        <v>134</v>
      </c>
      <c r="P57" s="1">
        <v>150202</v>
      </c>
      <c r="Q57" s="6" t="s">
        <v>135</v>
      </c>
      <c r="R57" s="1" t="s">
        <v>32</v>
      </c>
      <c r="S57" s="7">
        <f>IF(J57="Não aplicável","N.A.",VLOOKUP(J57,'[1]Lista ONU'!$A$2:$D$2271,3))</f>
        <v>1000</v>
      </c>
      <c r="T57" s="7" t="str">
        <f>IF(J57="Não aplicável","N.A.",VLOOKUP(J57,'[1]Lista ONU'!$A$2:$D$2271,4))</f>
        <v>5 kg</v>
      </c>
    </row>
    <row r="58" spans="1:20" x14ac:dyDescent="0.25">
      <c r="A58" s="4" t="s">
        <v>128</v>
      </c>
      <c r="B58" s="1" t="s">
        <v>227</v>
      </c>
      <c r="C58" s="1" t="s">
        <v>22</v>
      </c>
      <c r="D58" s="1" t="s">
        <v>106</v>
      </c>
      <c r="E58" s="5" t="s">
        <v>228</v>
      </c>
      <c r="F58" s="5" t="s">
        <v>106</v>
      </c>
      <c r="G58" s="1" t="s">
        <v>229</v>
      </c>
      <c r="H58" s="1" t="s">
        <v>106</v>
      </c>
      <c r="I58" s="1" t="s">
        <v>106</v>
      </c>
      <c r="J58" s="1" t="s">
        <v>106</v>
      </c>
      <c r="K58" s="5" t="s">
        <v>28</v>
      </c>
      <c r="L58" s="1" t="s">
        <v>132</v>
      </c>
      <c r="M58" s="1" t="s">
        <v>110</v>
      </c>
      <c r="N58" s="1">
        <v>801897</v>
      </c>
      <c r="O58" s="1" t="s">
        <v>134</v>
      </c>
      <c r="P58" s="1">
        <v>150202</v>
      </c>
      <c r="Q58" s="6" t="s">
        <v>135</v>
      </c>
      <c r="R58" s="1" t="s">
        <v>32</v>
      </c>
      <c r="S58" s="7" t="str">
        <f>IF(J58="Não aplicável","N.A.",VLOOKUP(J58,'[1]Lista ONU'!$A$2:$D$2271,3))</f>
        <v>N.A.</v>
      </c>
      <c r="T58" s="7" t="str">
        <f>IF(J58="Não aplicável","N.A.",VLOOKUP(J58,'[1]Lista ONU'!$A$2:$D$2271,4))</f>
        <v>N.A.</v>
      </c>
    </row>
    <row r="59" spans="1:20" x14ac:dyDescent="0.25">
      <c r="A59" s="4" t="s">
        <v>230</v>
      </c>
      <c r="B59" s="1" t="s">
        <v>231</v>
      </c>
      <c r="C59" s="1" t="s">
        <v>22</v>
      </c>
      <c r="D59" s="1" t="s">
        <v>106</v>
      </c>
      <c r="E59" s="5" t="s">
        <v>107</v>
      </c>
      <c r="F59" s="5" t="s">
        <v>87</v>
      </c>
      <c r="G59" s="1" t="s">
        <v>232</v>
      </c>
      <c r="H59" s="1" t="s">
        <v>106</v>
      </c>
      <c r="I59" s="1" t="s">
        <v>106</v>
      </c>
      <c r="J59" s="1" t="s">
        <v>106</v>
      </c>
      <c r="K59" s="5" t="s">
        <v>28</v>
      </c>
      <c r="L59" s="1" t="s">
        <v>109</v>
      </c>
      <c r="M59" s="1" t="s">
        <v>110</v>
      </c>
      <c r="N59" s="1">
        <v>92676</v>
      </c>
      <c r="O59" s="1" t="s">
        <v>233</v>
      </c>
      <c r="P59" s="1">
        <v>160122</v>
      </c>
      <c r="Q59" s="6" t="s">
        <v>234</v>
      </c>
      <c r="R59" s="1" t="s">
        <v>32</v>
      </c>
      <c r="S59" s="7" t="str">
        <f>IF(J59="Não aplicável","N.A.",VLOOKUP(J59,'[1]Lista ONU'!$A$2:$D$2271,3))</f>
        <v>N.A.</v>
      </c>
      <c r="T59" s="7" t="str">
        <f>IF(J59="Não aplicável","N.A.",VLOOKUP(J59,'[1]Lista ONU'!$A$2:$D$2271,4))</f>
        <v>N.A.</v>
      </c>
    </row>
    <row r="60" spans="1:20" x14ac:dyDescent="0.25">
      <c r="A60" s="4" t="s">
        <v>215</v>
      </c>
      <c r="B60" s="1" t="s">
        <v>235</v>
      </c>
      <c r="C60" s="1" t="s">
        <v>22</v>
      </c>
      <c r="D60" s="1" t="s">
        <v>106</v>
      </c>
      <c r="E60" s="5" t="s">
        <v>228</v>
      </c>
      <c r="F60" s="5" t="s">
        <v>25</v>
      </c>
      <c r="G60" s="1" t="s">
        <v>217</v>
      </c>
      <c r="H60" s="1" t="s">
        <v>106</v>
      </c>
      <c r="I60" s="1" t="s">
        <v>106</v>
      </c>
      <c r="J60" s="1" t="s">
        <v>106</v>
      </c>
      <c r="K60" s="5" t="s">
        <v>28</v>
      </c>
      <c r="L60" s="1" t="s">
        <v>113</v>
      </c>
      <c r="M60" s="1" t="s">
        <v>110</v>
      </c>
      <c r="N60" s="1">
        <v>1842</v>
      </c>
      <c r="O60" s="1" t="s">
        <v>236</v>
      </c>
      <c r="P60" s="1">
        <v>170402</v>
      </c>
      <c r="Q60" s="6" t="s">
        <v>221</v>
      </c>
      <c r="R60" s="1" t="s">
        <v>113</v>
      </c>
      <c r="S60" s="7" t="str">
        <f>IF(J60="Não aplicável","N.A.",VLOOKUP(J60,'[1]Lista ONU'!$A$2:$D$2271,3))</f>
        <v>N.A.</v>
      </c>
      <c r="T60" s="7" t="str">
        <f>IF(J60="Não aplicável","N.A.",VLOOKUP(J60,'[1]Lista ONU'!$A$2:$D$2271,4))</f>
        <v>N.A.</v>
      </c>
    </row>
    <row r="61" spans="1:20" x14ac:dyDescent="0.25">
      <c r="A61" s="4" t="s">
        <v>128</v>
      </c>
      <c r="B61" s="1" t="s">
        <v>237</v>
      </c>
      <c r="C61" s="1" t="s">
        <v>22</v>
      </c>
      <c r="D61" s="1" t="s">
        <v>238</v>
      </c>
      <c r="E61" s="5" t="s">
        <v>24</v>
      </c>
      <c r="F61" s="5" t="s">
        <v>106</v>
      </c>
      <c r="G61" s="1" t="s">
        <v>131</v>
      </c>
      <c r="H61" s="5" t="s">
        <v>62</v>
      </c>
      <c r="I61" s="5">
        <v>90</v>
      </c>
      <c r="J61" s="5">
        <v>3077</v>
      </c>
      <c r="K61" s="5" t="s">
        <v>28</v>
      </c>
      <c r="L61" s="1" t="s">
        <v>132</v>
      </c>
      <c r="M61" s="1" t="s">
        <v>133</v>
      </c>
      <c r="N61" s="1">
        <v>801897</v>
      </c>
      <c r="O61" s="1" t="s">
        <v>134</v>
      </c>
      <c r="P61" s="1">
        <v>150202</v>
      </c>
      <c r="Q61" s="6" t="s">
        <v>135</v>
      </c>
      <c r="R61" s="1" t="s">
        <v>32</v>
      </c>
      <c r="S61" s="7">
        <f>IF(J61="Não aplicável","N.A.",VLOOKUP(J61,'[1]Lista ONU'!$A$2:$D$2271,3))</f>
        <v>1000</v>
      </c>
      <c r="T61" s="7" t="str">
        <f>IF(J61="Não aplicável","N.A.",VLOOKUP(J61,'[1]Lista ONU'!$A$2:$D$2271,4))</f>
        <v>5 kg</v>
      </c>
    </row>
    <row r="62" spans="1:20" x14ac:dyDescent="0.25">
      <c r="A62" s="4" t="s">
        <v>128</v>
      </c>
      <c r="B62" s="1" t="s">
        <v>239</v>
      </c>
      <c r="C62" s="1" t="s">
        <v>22</v>
      </c>
      <c r="D62" s="1" t="s">
        <v>106</v>
      </c>
      <c r="E62" s="5" t="s">
        <v>228</v>
      </c>
      <c r="F62" s="5" t="s">
        <v>106</v>
      </c>
      <c r="G62" s="1" t="s">
        <v>229</v>
      </c>
      <c r="H62" s="1" t="s">
        <v>106</v>
      </c>
      <c r="I62" s="1" t="s">
        <v>106</v>
      </c>
      <c r="J62" s="1" t="s">
        <v>106</v>
      </c>
      <c r="K62" s="5" t="s">
        <v>28</v>
      </c>
      <c r="L62" s="1" t="s">
        <v>132</v>
      </c>
      <c r="M62" s="1" t="s">
        <v>110</v>
      </c>
      <c r="N62" s="1">
        <v>801897</v>
      </c>
      <c r="O62" s="1" t="s">
        <v>134</v>
      </c>
      <c r="P62" s="1">
        <v>150202</v>
      </c>
      <c r="Q62" s="6" t="s">
        <v>135</v>
      </c>
      <c r="R62" s="1" t="s">
        <v>32</v>
      </c>
      <c r="S62" s="7" t="str">
        <f>IF(J62="Não aplicável","N.A.",VLOOKUP(J62,'[1]Lista ONU'!$A$2:$D$2271,3))</f>
        <v>N.A.</v>
      </c>
      <c r="T62" s="7" t="str">
        <f>IF(J62="Não aplicável","N.A.",VLOOKUP(J62,'[1]Lista ONU'!$A$2:$D$2271,4))</f>
        <v>N.A.</v>
      </c>
    </row>
    <row r="63" spans="1:20" x14ac:dyDescent="0.25">
      <c r="A63" s="4" t="s">
        <v>128</v>
      </c>
      <c r="B63" s="1" t="s">
        <v>240</v>
      </c>
      <c r="C63" s="1" t="s">
        <v>22</v>
      </c>
      <c r="D63" s="1" t="s">
        <v>106</v>
      </c>
      <c r="E63" s="5" t="s">
        <v>228</v>
      </c>
      <c r="F63" s="5" t="s">
        <v>106</v>
      </c>
      <c r="G63" s="1" t="s">
        <v>241</v>
      </c>
      <c r="H63" s="1" t="s">
        <v>106</v>
      </c>
      <c r="I63" s="1" t="s">
        <v>106</v>
      </c>
      <c r="J63" s="1" t="s">
        <v>106</v>
      </c>
      <c r="K63" s="5" t="s">
        <v>28</v>
      </c>
      <c r="L63" s="1" t="s">
        <v>132</v>
      </c>
      <c r="M63" s="1" t="s">
        <v>110</v>
      </c>
      <c r="N63" s="1">
        <v>801897</v>
      </c>
      <c r="O63" s="1" t="s">
        <v>134</v>
      </c>
      <c r="P63" s="1">
        <v>150202</v>
      </c>
      <c r="Q63" s="6" t="s">
        <v>135</v>
      </c>
      <c r="R63" s="1" t="s">
        <v>32</v>
      </c>
      <c r="S63" s="7" t="str">
        <f>IF(J63="Não aplicável","N.A.",VLOOKUP(J63,'[1]Lista ONU'!$A$2:$D$2271,3))</f>
        <v>N.A.</v>
      </c>
      <c r="T63" s="7" t="str">
        <f>IF(J63="Não aplicável","N.A.",VLOOKUP(J63,'[1]Lista ONU'!$A$2:$D$2271,4))</f>
        <v>N.A.</v>
      </c>
    </row>
    <row r="64" spans="1:20" x14ac:dyDescent="0.25">
      <c r="A64" s="4" t="s">
        <v>20</v>
      </c>
      <c r="B64" s="1" t="s">
        <v>242</v>
      </c>
      <c r="C64" s="1" t="s">
        <v>22</v>
      </c>
      <c r="D64" s="1" t="s">
        <v>59</v>
      </c>
      <c r="E64" s="5" t="s">
        <v>24</v>
      </c>
      <c r="F64" s="5" t="s">
        <v>54</v>
      </c>
      <c r="G64" s="1" t="s">
        <v>73</v>
      </c>
      <c r="H64" s="5" t="s">
        <v>62</v>
      </c>
      <c r="I64" s="5">
        <v>90</v>
      </c>
      <c r="J64" s="5">
        <v>3432</v>
      </c>
      <c r="K64" s="5" t="s">
        <v>28</v>
      </c>
      <c r="L64" s="1" t="s">
        <v>243</v>
      </c>
      <c r="M64" s="1" t="s">
        <v>122</v>
      </c>
      <c r="N64" s="1">
        <v>801901</v>
      </c>
      <c r="O64" s="1" t="s">
        <v>244</v>
      </c>
      <c r="P64" s="1">
        <v>160209</v>
      </c>
      <c r="Q64" s="6" t="s">
        <v>245</v>
      </c>
      <c r="R64" s="1" t="s">
        <v>32</v>
      </c>
      <c r="S64" s="7" t="str">
        <f>IF(J64="Não aplicável","N.A.",VLOOKUP(J64,'[1]Lista ONU'!$A$2:$D$2271,3))</f>
        <v>ZERO</v>
      </c>
      <c r="T64" s="7" t="str">
        <f>IF(J64="Não aplicável","N.A.",VLOOKUP(J64,'[1]Lista ONU'!$A$2:$D$2271,4))</f>
        <v>1 kg</v>
      </c>
    </row>
    <row r="65" spans="1:20" x14ac:dyDescent="0.25">
      <c r="A65" s="4" t="s">
        <v>215</v>
      </c>
      <c r="B65" s="1" t="s">
        <v>246</v>
      </c>
      <c r="C65" s="1" t="s">
        <v>22</v>
      </c>
      <c r="D65" s="1" t="s">
        <v>106</v>
      </c>
      <c r="E65" s="5" t="s">
        <v>107</v>
      </c>
      <c r="F65" s="5" t="s">
        <v>25</v>
      </c>
      <c r="G65" s="1" t="s">
        <v>217</v>
      </c>
      <c r="H65" s="1" t="s">
        <v>106</v>
      </c>
      <c r="I65" s="1" t="s">
        <v>106</v>
      </c>
      <c r="J65" s="1" t="s">
        <v>106</v>
      </c>
      <c r="K65" s="5" t="s">
        <v>28</v>
      </c>
      <c r="L65" s="1" t="s">
        <v>109</v>
      </c>
      <c r="M65" s="1" t="s">
        <v>110</v>
      </c>
      <c r="N65" s="5" t="s">
        <v>110</v>
      </c>
      <c r="O65" s="1" t="s">
        <v>110</v>
      </c>
      <c r="P65" s="1" t="s">
        <v>110</v>
      </c>
      <c r="Q65" s="6" t="s">
        <v>110</v>
      </c>
      <c r="R65" s="1" t="s">
        <v>32</v>
      </c>
      <c r="S65" s="7" t="str">
        <f>IF(J65="Não aplicável","N.A.",VLOOKUP(J65,'[1]Lista ONU'!$A$2:$D$2271,3))</f>
        <v>N.A.</v>
      </c>
      <c r="T65" s="7" t="str">
        <f>IF(J65="Não aplicável","N.A.",VLOOKUP(J65,'[1]Lista ONU'!$A$2:$D$2271,4))</f>
        <v>N.A.</v>
      </c>
    </row>
    <row r="66" spans="1:20" x14ac:dyDescent="0.25">
      <c r="A66" s="4" t="s">
        <v>247</v>
      </c>
      <c r="B66" s="1" t="s">
        <v>248</v>
      </c>
      <c r="C66" s="1" t="s">
        <v>249</v>
      </c>
      <c r="D66" s="1" t="s">
        <v>106</v>
      </c>
      <c r="E66" s="5" t="s">
        <v>24</v>
      </c>
      <c r="F66" s="5" t="s">
        <v>25</v>
      </c>
      <c r="G66" s="1" t="s">
        <v>98</v>
      </c>
      <c r="H66" s="5" t="s">
        <v>62</v>
      </c>
      <c r="I66" s="1">
        <v>90</v>
      </c>
      <c r="J66" s="1">
        <v>3077</v>
      </c>
      <c r="K66" s="5" t="s">
        <v>28</v>
      </c>
      <c r="L66" s="1" t="s">
        <v>132</v>
      </c>
      <c r="M66" s="1" t="s">
        <v>133</v>
      </c>
      <c r="N66" s="1">
        <v>119008</v>
      </c>
      <c r="O66" s="1" t="s">
        <v>250</v>
      </c>
      <c r="P66" s="1">
        <v>160214</v>
      </c>
      <c r="Q66" s="6" t="s">
        <v>251</v>
      </c>
      <c r="R66" s="1" t="s">
        <v>32</v>
      </c>
      <c r="S66" s="7">
        <f>IF(J66="Não aplicável","N.A.",VLOOKUP(J66,'[1]Lista ONU'!$A$2:$D$2271,3))</f>
        <v>1000</v>
      </c>
      <c r="T66" s="7" t="str">
        <f>IF(J66="Não aplicável","N.A.",VLOOKUP(J66,'[1]Lista ONU'!$A$2:$D$2271,4))</f>
        <v>5 kg</v>
      </c>
    </row>
    <row r="67" spans="1:20" x14ac:dyDescent="0.25">
      <c r="A67" s="4" t="s">
        <v>247</v>
      </c>
      <c r="B67" s="1" t="s">
        <v>252</v>
      </c>
      <c r="C67" s="1" t="s">
        <v>22</v>
      </c>
      <c r="D67" s="1" t="s">
        <v>106</v>
      </c>
      <c r="E67" s="5" t="s">
        <v>24</v>
      </c>
      <c r="F67" s="5" t="s">
        <v>25</v>
      </c>
      <c r="G67" s="1" t="s">
        <v>207</v>
      </c>
      <c r="H67" s="5" t="s">
        <v>62</v>
      </c>
      <c r="I67" s="1">
        <v>90</v>
      </c>
      <c r="J67" s="1">
        <v>3077</v>
      </c>
      <c r="K67" s="5" t="s">
        <v>28</v>
      </c>
      <c r="L67" s="1" t="s">
        <v>132</v>
      </c>
      <c r="M67" s="1" t="s">
        <v>133</v>
      </c>
      <c r="N67" s="1">
        <v>801900</v>
      </c>
      <c r="O67" s="1" t="s">
        <v>253</v>
      </c>
      <c r="P67" s="1">
        <v>80111</v>
      </c>
      <c r="Q67" s="6" t="s">
        <v>254</v>
      </c>
      <c r="R67" s="1" t="s">
        <v>32</v>
      </c>
      <c r="S67" s="7">
        <f>IF(J67="Não aplicável","N.A.",VLOOKUP(J67,'[1]Lista ONU'!$A$2:$D$2271,3))</f>
        <v>1000</v>
      </c>
      <c r="T67" s="7" t="str">
        <f>IF(J67="Não aplicável","N.A.",VLOOKUP(J67,'[1]Lista ONU'!$A$2:$D$2271,4))</f>
        <v>5 kg</v>
      </c>
    </row>
    <row r="68" spans="1:20" x14ac:dyDescent="0.25">
      <c r="A68" s="4" t="s">
        <v>20</v>
      </c>
      <c r="B68" s="1" t="s">
        <v>255</v>
      </c>
      <c r="C68" s="1" t="s">
        <v>22</v>
      </c>
      <c r="D68" s="1" t="s">
        <v>256</v>
      </c>
      <c r="E68" s="5" t="s">
        <v>24</v>
      </c>
      <c r="F68" s="5" t="s">
        <v>54</v>
      </c>
      <c r="G68" s="1" t="s">
        <v>26</v>
      </c>
      <c r="H68" s="5" t="s">
        <v>27</v>
      </c>
      <c r="I68" s="5">
        <v>368</v>
      </c>
      <c r="J68" s="5">
        <v>3286</v>
      </c>
      <c r="K68" s="5" t="s">
        <v>28</v>
      </c>
      <c r="L68" s="1" t="s">
        <v>43</v>
      </c>
      <c r="M68" s="1" t="s">
        <v>75</v>
      </c>
      <c r="N68" s="5" t="s">
        <v>110</v>
      </c>
      <c r="O68" s="5" t="s">
        <v>110</v>
      </c>
      <c r="P68" s="1" t="s">
        <v>110</v>
      </c>
      <c r="Q68" s="6" t="s">
        <v>110</v>
      </c>
      <c r="R68" s="1" t="s">
        <v>32</v>
      </c>
      <c r="S68" s="7">
        <f>IF(J68="Não aplicável","N.A.",VLOOKUP(J68,'[1]Lista ONU'!$A$2:$D$2271,3))</f>
        <v>20</v>
      </c>
      <c r="T68" s="7" t="str">
        <f>IF(J68="Não aplicável","N.A.",VLOOKUP(J68,'[1]Lista ONU'!$A$2:$D$2271,4))</f>
        <v>1 L</v>
      </c>
    </row>
    <row r="69" spans="1:20" x14ac:dyDescent="0.25">
      <c r="A69" s="4" t="s">
        <v>128</v>
      </c>
      <c r="B69" s="1" t="s">
        <v>257</v>
      </c>
      <c r="C69" s="1" t="s">
        <v>22</v>
      </c>
      <c r="D69" s="1" t="s">
        <v>106</v>
      </c>
      <c r="E69" s="5" t="s">
        <v>107</v>
      </c>
      <c r="F69" s="5" t="s">
        <v>106</v>
      </c>
      <c r="G69" s="1" t="s">
        <v>229</v>
      </c>
      <c r="H69" s="1" t="s">
        <v>106</v>
      </c>
      <c r="I69" s="1" t="s">
        <v>106</v>
      </c>
      <c r="J69" s="1" t="s">
        <v>106</v>
      </c>
      <c r="K69" s="5" t="s">
        <v>28</v>
      </c>
      <c r="L69" s="1" t="s">
        <v>132</v>
      </c>
      <c r="M69" s="1" t="s">
        <v>110</v>
      </c>
      <c r="N69" s="1">
        <v>801897</v>
      </c>
      <c r="O69" s="1" t="s">
        <v>134</v>
      </c>
      <c r="P69" s="1">
        <v>150202</v>
      </c>
      <c r="Q69" s="6" t="s">
        <v>135</v>
      </c>
      <c r="R69" s="1" t="s">
        <v>32</v>
      </c>
      <c r="S69" s="7" t="str">
        <f>IF(J69="Não aplicável","N.A.",VLOOKUP(J69,'[1]Lista ONU'!$A$2:$D$2271,3))</f>
        <v>N.A.</v>
      </c>
      <c r="T69" s="7" t="str">
        <f>IF(J69="Não aplicável","N.A.",VLOOKUP(J69,'[1]Lista ONU'!$A$2:$D$2271,4))</f>
        <v>N.A.</v>
      </c>
    </row>
    <row r="70" spans="1:20" x14ac:dyDescent="0.25">
      <c r="A70" s="4" t="s">
        <v>20</v>
      </c>
      <c r="B70" s="1" t="s">
        <v>258</v>
      </c>
      <c r="C70" s="1" t="s">
        <v>22</v>
      </c>
      <c r="D70" s="1" t="s">
        <v>259</v>
      </c>
      <c r="E70" s="5" t="s">
        <v>24</v>
      </c>
      <c r="F70" s="5" t="s">
        <v>25</v>
      </c>
      <c r="G70" s="1" t="s">
        <v>26</v>
      </c>
      <c r="H70" s="1" t="s">
        <v>106</v>
      </c>
      <c r="I70" s="1" t="s">
        <v>106</v>
      </c>
      <c r="J70" s="1" t="s">
        <v>106</v>
      </c>
      <c r="K70" s="5" t="s">
        <v>28</v>
      </c>
      <c r="L70" s="5" t="s">
        <v>29</v>
      </c>
      <c r="M70" s="5" t="s">
        <v>110</v>
      </c>
      <c r="N70" s="5">
        <v>909532</v>
      </c>
      <c r="O70" s="5" t="s">
        <v>260</v>
      </c>
      <c r="P70" s="1" t="s">
        <v>110</v>
      </c>
      <c r="Q70" s="6" t="s">
        <v>110</v>
      </c>
      <c r="R70" s="1" t="s">
        <v>32</v>
      </c>
      <c r="S70" s="7" t="str">
        <f>IF(J70="Não aplicável","N.A.",VLOOKUP(J70,'[1]Lista ONU'!$A$2:$D$2271,3))</f>
        <v>N.A.</v>
      </c>
      <c r="T70" s="7" t="str">
        <f>IF(J70="Não aplicável","N.A.",VLOOKUP(J70,'[1]Lista ONU'!$A$2:$D$2271,4))</f>
        <v>N.A.</v>
      </c>
    </row>
    <row r="71" spans="1:20" x14ac:dyDescent="0.25">
      <c r="A71" s="4" t="s">
        <v>20</v>
      </c>
      <c r="B71" s="1" t="s">
        <v>261</v>
      </c>
      <c r="C71" s="1" t="s">
        <v>22</v>
      </c>
      <c r="D71" s="1" t="s">
        <v>262</v>
      </c>
      <c r="E71" s="5" t="s">
        <v>24</v>
      </c>
      <c r="F71" s="5" t="s">
        <v>25</v>
      </c>
      <c r="G71" s="1" t="s">
        <v>26</v>
      </c>
      <c r="H71" s="5" t="s">
        <v>99</v>
      </c>
      <c r="I71" s="5">
        <v>60</v>
      </c>
      <c r="J71" s="5">
        <v>1888</v>
      </c>
      <c r="K71" s="5" t="s">
        <v>28</v>
      </c>
      <c r="L71" s="5" t="s">
        <v>29</v>
      </c>
      <c r="M71" s="5" t="s">
        <v>261</v>
      </c>
      <c r="N71" s="5">
        <v>801910</v>
      </c>
      <c r="O71" s="5" t="s">
        <v>30</v>
      </c>
      <c r="P71" s="1">
        <v>70104</v>
      </c>
      <c r="Q71" s="6" t="s">
        <v>31</v>
      </c>
      <c r="R71" s="1" t="s">
        <v>32</v>
      </c>
      <c r="S71" s="7">
        <f>IF(J71="Não aplicável","N.A.",VLOOKUP(J71,'[1]Lista ONU'!$A$2:$D$2271,3))</f>
        <v>333</v>
      </c>
      <c r="T71" s="7" t="str">
        <f>IF(J71="Não aplicável","N.A.",VLOOKUP(J71,'[1]Lista ONU'!$A$2:$D$2271,4))</f>
        <v>5 L</v>
      </c>
    </row>
    <row r="72" spans="1:20" x14ac:dyDescent="0.25">
      <c r="A72" s="4" t="s">
        <v>128</v>
      </c>
      <c r="B72" s="1" t="s">
        <v>263</v>
      </c>
      <c r="C72" s="1" t="s">
        <v>22</v>
      </c>
      <c r="D72" s="1" t="s">
        <v>106</v>
      </c>
      <c r="E72" s="5" t="s">
        <v>228</v>
      </c>
      <c r="F72" s="5" t="s">
        <v>106</v>
      </c>
      <c r="G72" s="1" t="s">
        <v>229</v>
      </c>
      <c r="H72" s="1" t="s">
        <v>106</v>
      </c>
      <c r="I72" s="1" t="s">
        <v>106</v>
      </c>
      <c r="J72" s="1" t="s">
        <v>106</v>
      </c>
      <c r="K72" s="5" t="s">
        <v>28</v>
      </c>
      <c r="L72" s="1" t="s">
        <v>113</v>
      </c>
      <c r="M72" s="1" t="s">
        <v>110</v>
      </c>
      <c r="N72" s="1">
        <v>801897</v>
      </c>
      <c r="O72" s="1" t="s">
        <v>134</v>
      </c>
      <c r="P72" s="1">
        <v>150202</v>
      </c>
      <c r="Q72" s="6" t="s">
        <v>135</v>
      </c>
      <c r="R72" s="1" t="s">
        <v>113</v>
      </c>
      <c r="S72" s="7" t="str">
        <f>IF(J72="Não aplicável","N.A.",VLOOKUP(J72,'[1]Lista ONU'!$A$2:$D$2271,3))</f>
        <v>N.A.</v>
      </c>
      <c r="T72" s="7" t="str">
        <f>IF(J72="Não aplicável","N.A.",VLOOKUP(J72,'[1]Lista ONU'!$A$2:$D$2271,4))</f>
        <v>N.A.</v>
      </c>
    </row>
    <row r="73" spans="1:20" x14ac:dyDescent="0.25">
      <c r="A73" s="4" t="s">
        <v>264</v>
      </c>
      <c r="B73" s="1" t="s">
        <v>265</v>
      </c>
      <c r="C73" s="1" t="s">
        <v>22</v>
      </c>
      <c r="D73" s="1" t="s">
        <v>106</v>
      </c>
      <c r="E73" s="5" t="s">
        <v>228</v>
      </c>
      <c r="F73" s="5" t="s">
        <v>87</v>
      </c>
      <c r="G73" s="1" t="s">
        <v>266</v>
      </c>
      <c r="H73" s="1" t="s">
        <v>106</v>
      </c>
      <c r="I73" s="1" t="s">
        <v>106</v>
      </c>
      <c r="J73" s="1" t="s">
        <v>106</v>
      </c>
      <c r="K73" s="5" t="s">
        <v>28</v>
      </c>
      <c r="L73" s="1" t="s">
        <v>113</v>
      </c>
      <c r="M73" s="1" t="s">
        <v>110</v>
      </c>
      <c r="N73" s="1">
        <v>372997</v>
      </c>
      <c r="O73" s="1" t="s">
        <v>267</v>
      </c>
      <c r="P73" s="1">
        <v>160214</v>
      </c>
      <c r="Q73" s="6" t="s">
        <v>251</v>
      </c>
      <c r="R73" s="1" t="s">
        <v>113</v>
      </c>
      <c r="S73" s="7" t="str">
        <f>IF(J73="Não aplicável","N.A.",VLOOKUP(J73,'[1]Lista ONU'!$A$2:$D$2271,3))</f>
        <v>N.A.</v>
      </c>
      <c r="T73" s="7" t="str">
        <f>IF(J73="Não aplicável","N.A.",VLOOKUP(J73,'[1]Lista ONU'!$A$2:$D$2271,4))</f>
        <v>N.A.</v>
      </c>
    </row>
    <row r="74" spans="1:20" x14ac:dyDescent="0.25">
      <c r="A74" s="4" t="s">
        <v>247</v>
      </c>
      <c r="B74" s="1" t="s">
        <v>268</v>
      </c>
      <c r="C74" s="1" t="s">
        <v>22</v>
      </c>
      <c r="D74" s="1" t="s">
        <v>106</v>
      </c>
      <c r="E74" s="5" t="s">
        <v>24</v>
      </c>
      <c r="F74" s="5" t="s">
        <v>269</v>
      </c>
      <c r="G74" s="1" t="s">
        <v>207</v>
      </c>
      <c r="H74" s="5" t="s">
        <v>62</v>
      </c>
      <c r="I74" s="5">
        <v>90</v>
      </c>
      <c r="J74" s="5">
        <v>3077</v>
      </c>
      <c r="K74" s="5" t="s">
        <v>28</v>
      </c>
      <c r="L74" s="1" t="s">
        <v>270</v>
      </c>
      <c r="M74" s="1" t="s">
        <v>133</v>
      </c>
      <c r="N74" s="1">
        <v>119008</v>
      </c>
      <c r="O74" s="1" t="s">
        <v>250</v>
      </c>
      <c r="P74" s="1">
        <v>160214</v>
      </c>
      <c r="Q74" s="6" t="s">
        <v>251</v>
      </c>
      <c r="R74" s="1" t="s">
        <v>32</v>
      </c>
      <c r="S74" s="7">
        <f>IF(J74="Não aplicável","N.A.",VLOOKUP(J74,'[1]Lista ONU'!$A$2:$D$2271,3))</f>
        <v>1000</v>
      </c>
      <c r="T74" s="7" t="str">
        <f>IF(J74="Não aplicável","N.A.",VLOOKUP(J74,'[1]Lista ONU'!$A$2:$D$2271,4))</f>
        <v>5 kg</v>
      </c>
    </row>
    <row r="75" spans="1:20" x14ac:dyDescent="0.25">
      <c r="A75" s="4" t="s">
        <v>230</v>
      </c>
      <c r="B75" s="1" t="s">
        <v>271</v>
      </c>
      <c r="C75" s="1" t="s">
        <v>22</v>
      </c>
      <c r="D75" s="1" t="s">
        <v>106</v>
      </c>
      <c r="E75" s="5" t="s">
        <v>228</v>
      </c>
      <c r="F75" s="5" t="s">
        <v>87</v>
      </c>
      <c r="G75" s="1" t="s">
        <v>167</v>
      </c>
      <c r="H75" s="1" t="s">
        <v>106</v>
      </c>
      <c r="I75" s="1" t="s">
        <v>106</v>
      </c>
      <c r="J75" s="1" t="s">
        <v>106</v>
      </c>
      <c r="K75" s="5" t="s">
        <v>28</v>
      </c>
      <c r="L75" s="1" t="s">
        <v>272</v>
      </c>
      <c r="M75" s="1" t="s">
        <v>110</v>
      </c>
      <c r="N75" s="1">
        <v>801897</v>
      </c>
      <c r="O75" s="1" t="s">
        <v>273</v>
      </c>
      <c r="P75" s="1">
        <v>150202</v>
      </c>
      <c r="Q75" s="6" t="s">
        <v>135</v>
      </c>
      <c r="R75" s="1" t="s">
        <v>32</v>
      </c>
      <c r="S75" s="7" t="str">
        <f>IF(J75="Não aplicável","N.A.",VLOOKUP(J75,'[1]Lista ONU'!$A$2:$D$2271,3))</f>
        <v>N.A.</v>
      </c>
      <c r="T75" s="7" t="str">
        <f>IF(J75="Não aplicável","N.A.",VLOOKUP(J75,'[1]Lista ONU'!$A$2:$D$2271,4))</f>
        <v>N.A.</v>
      </c>
    </row>
    <row r="76" spans="1:20" x14ac:dyDescent="0.25">
      <c r="A76" s="4" t="s">
        <v>114</v>
      </c>
      <c r="B76" s="1" t="s">
        <v>274</v>
      </c>
      <c r="C76" s="1" t="s">
        <v>22</v>
      </c>
      <c r="D76" s="1" t="s">
        <v>275</v>
      </c>
      <c r="E76" s="5" t="s">
        <v>228</v>
      </c>
      <c r="F76" s="5" t="s">
        <v>25</v>
      </c>
      <c r="G76" s="1" t="s">
        <v>276</v>
      </c>
      <c r="H76" s="1" t="s">
        <v>106</v>
      </c>
      <c r="I76" s="1" t="s">
        <v>106</v>
      </c>
      <c r="J76" s="1" t="s">
        <v>106</v>
      </c>
      <c r="K76" s="5" t="s">
        <v>28</v>
      </c>
      <c r="L76" s="1" t="s">
        <v>117</v>
      </c>
      <c r="M76" s="1" t="s">
        <v>110</v>
      </c>
      <c r="N76" s="1">
        <v>78170</v>
      </c>
      <c r="O76" s="1" t="s">
        <v>277</v>
      </c>
      <c r="P76" s="1">
        <v>160117</v>
      </c>
      <c r="Q76" s="6" t="s">
        <v>278</v>
      </c>
      <c r="R76" s="1" t="s">
        <v>32</v>
      </c>
      <c r="S76" s="7" t="str">
        <f>IF(J76="Não aplicável","N.A.",VLOOKUP(J76,'[1]Lista ONU'!$A$2:$D$2271,3))</f>
        <v>N.A.</v>
      </c>
      <c r="T76" s="7" t="str">
        <f>IF(J76="Não aplicável","N.A.",VLOOKUP(J76,'[1]Lista ONU'!$A$2:$D$2271,4))</f>
        <v>N.A.</v>
      </c>
    </row>
    <row r="77" spans="1:20" x14ac:dyDescent="0.25">
      <c r="A77" s="4" t="s">
        <v>128</v>
      </c>
      <c r="B77" s="1" t="s">
        <v>279</v>
      </c>
      <c r="C77" s="1" t="s">
        <v>22</v>
      </c>
      <c r="D77" s="1" t="s">
        <v>209</v>
      </c>
      <c r="E77" s="5" t="s">
        <v>24</v>
      </c>
      <c r="F77" s="5" t="s">
        <v>106</v>
      </c>
      <c r="G77" s="1" t="s">
        <v>131</v>
      </c>
      <c r="H77" s="5" t="s">
        <v>62</v>
      </c>
      <c r="I77" s="5">
        <v>90</v>
      </c>
      <c r="J77" s="5">
        <v>3077</v>
      </c>
      <c r="K77" s="5" t="s">
        <v>28</v>
      </c>
      <c r="L77" s="1" t="s">
        <v>132</v>
      </c>
      <c r="M77" s="1" t="s">
        <v>133</v>
      </c>
      <c r="N77" s="1">
        <v>801897</v>
      </c>
      <c r="O77" s="1" t="s">
        <v>134</v>
      </c>
      <c r="P77" s="1">
        <v>150202</v>
      </c>
      <c r="Q77" s="6" t="s">
        <v>135</v>
      </c>
      <c r="R77" s="1" t="s">
        <v>32</v>
      </c>
      <c r="S77" s="7">
        <f>IF(J77="Não aplicável","N.A.",VLOOKUP(J77,'[1]Lista ONU'!$A$2:$D$2271,3))</f>
        <v>1000</v>
      </c>
      <c r="T77" s="7" t="str">
        <f>IF(J77="Não aplicável","N.A.",VLOOKUP(J77,'[1]Lista ONU'!$A$2:$D$2271,4))</f>
        <v>5 kg</v>
      </c>
    </row>
    <row r="78" spans="1:20" x14ac:dyDescent="0.25">
      <c r="A78" s="4" t="s">
        <v>264</v>
      </c>
      <c r="B78" s="1" t="s">
        <v>280</v>
      </c>
      <c r="C78" s="1" t="s">
        <v>22</v>
      </c>
      <c r="D78" s="1" t="s">
        <v>106</v>
      </c>
      <c r="E78" s="5" t="s">
        <v>228</v>
      </c>
      <c r="F78" s="5" t="s">
        <v>106</v>
      </c>
      <c r="G78" s="1" t="s">
        <v>281</v>
      </c>
      <c r="H78" s="1" t="s">
        <v>106</v>
      </c>
      <c r="I78" s="1" t="s">
        <v>106</v>
      </c>
      <c r="J78" s="1" t="s">
        <v>106</v>
      </c>
      <c r="K78" s="5" t="s">
        <v>28</v>
      </c>
      <c r="L78" s="1" t="s">
        <v>132</v>
      </c>
      <c r="M78" s="1" t="s">
        <v>110</v>
      </c>
      <c r="N78" s="5" t="s">
        <v>110</v>
      </c>
      <c r="O78" s="1" t="s">
        <v>282</v>
      </c>
      <c r="P78" s="1" t="s">
        <v>110</v>
      </c>
      <c r="Q78" s="6" t="s">
        <v>110</v>
      </c>
      <c r="R78" s="1" t="s">
        <v>32</v>
      </c>
      <c r="S78" s="7" t="str">
        <f>IF(J78="Não aplicável","N.A.",VLOOKUP(J78,'[1]Lista ONU'!$A$2:$D$2271,3))</f>
        <v>N.A.</v>
      </c>
      <c r="T78" s="7" t="str">
        <f>IF(J78="Não aplicável","N.A.",VLOOKUP(J78,'[1]Lista ONU'!$A$2:$D$2271,4))</f>
        <v>N.A.</v>
      </c>
    </row>
    <row r="79" spans="1:20" x14ac:dyDescent="0.25">
      <c r="A79" s="4" t="s">
        <v>104</v>
      </c>
      <c r="B79" s="1" t="s">
        <v>283</v>
      </c>
      <c r="C79" s="1" t="s">
        <v>22</v>
      </c>
      <c r="D79" s="1" t="s">
        <v>106</v>
      </c>
      <c r="E79" s="5" t="s">
        <v>107</v>
      </c>
      <c r="F79" s="5" t="s">
        <v>87</v>
      </c>
      <c r="G79" s="1" t="s">
        <v>284</v>
      </c>
      <c r="H79" s="1" t="s">
        <v>106</v>
      </c>
      <c r="I79" s="1" t="s">
        <v>106</v>
      </c>
      <c r="J79" s="1" t="s">
        <v>106</v>
      </c>
      <c r="K79" s="5" t="s">
        <v>28</v>
      </c>
      <c r="L79" s="1" t="s">
        <v>113</v>
      </c>
      <c r="M79" s="1" t="s">
        <v>110</v>
      </c>
      <c r="N79" s="1">
        <v>207100</v>
      </c>
      <c r="O79" s="1" t="s">
        <v>285</v>
      </c>
      <c r="P79" s="1">
        <v>170201</v>
      </c>
      <c r="Q79" s="6" t="s">
        <v>112</v>
      </c>
      <c r="R79" s="1" t="s">
        <v>113</v>
      </c>
      <c r="S79" s="7" t="str">
        <f>IF(J79="Não aplicável","N.A.",VLOOKUP(J79,'[1]Lista ONU'!$A$2:$D$2271,3))</f>
        <v>N.A.</v>
      </c>
      <c r="T79" s="7" t="str">
        <f>IF(J79="Não aplicável","N.A.",VLOOKUP(J79,'[1]Lista ONU'!$A$2:$D$2271,4))</f>
        <v>N.A.</v>
      </c>
    </row>
    <row r="80" spans="1:20" x14ac:dyDescent="0.25">
      <c r="A80" s="4" t="s">
        <v>20</v>
      </c>
      <c r="B80" s="1" t="s">
        <v>286</v>
      </c>
      <c r="C80" s="1" t="s">
        <v>22</v>
      </c>
      <c r="D80" s="1" t="s">
        <v>287</v>
      </c>
      <c r="E80" s="5" t="s">
        <v>24</v>
      </c>
      <c r="F80" s="5" t="s">
        <v>25</v>
      </c>
      <c r="G80" s="1" t="s">
        <v>26</v>
      </c>
      <c r="H80" s="5" t="s">
        <v>27</v>
      </c>
      <c r="I80" s="5">
        <v>33</v>
      </c>
      <c r="J80" s="5">
        <v>1263</v>
      </c>
      <c r="K80" s="5" t="s">
        <v>28</v>
      </c>
      <c r="L80" s="1" t="s">
        <v>132</v>
      </c>
      <c r="M80" s="1" t="s">
        <v>75</v>
      </c>
      <c r="N80" s="5" t="s">
        <v>110</v>
      </c>
      <c r="O80" s="5" t="s">
        <v>110</v>
      </c>
      <c r="P80" s="1" t="s">
        <v>110</v>
      </c>
      <c r="Q80" s="6" t="s">
        <v>110</v>
      </c>
      <c r="R80" s="1" t="s">
        <v>32</v>
      </c>
      <c r="S80" s="7">
        <f>IF(J80="Não aplicável","N.A.",VLOOKUP(J80,'[1]Lista ONU'!$A$2:$D$2271,3))</f>
        <v>20</v>
      </c>
      <c r="T80" s="7" t="str">
        <f>IF(J80="Não aplicável","N.A.",VLOOKUP(J80,'[1]Lista ONU'!$A$2:$D$2271,4))</f>
        <v>5 L</v>
      </c>
    </row>
    <row r="81" spans="1:20" x14ac:dyDescent="0.25">
      <c r="A81" s="4" t="s">
        <v>20</v>
      </c>
      <c r="B81" s="1" t="s">
        <v>288</v>
      </c>
      <c r="C81" s="1" t="s">
        <v>22</v>
      </c>
      <c r="D81" s="1" t="s">
        <v>289</v>
      </c>
      <c r="E81" s="5" t="s">
        <v>24</v>
      </c>
      <c r="F81" s="5" t="s">
        <v>25</v>
      </c>
      <c r="G81" s="1" t="s">
        <v>26</v>
      </c>
      <c r="H81" s="5" t="s">
        <v>186</v>
      </c>
      <c r="I81" s="5">
        <v>20</v>
      </c>
      <c r="J81" s="5">
        <v>1950</v>
      </c>
      <c r="K81" s="5" t="s">
        <v>28</v>
      </c>
      <c r="L81" s="1" t="s">
        <v>132</v>
      </c>
      <c r="M81" s="1" t="s">
        <v>187</v>
      </c>
      <c r="N81" s="5" t="s">
        <v>110</v>
      </c>
      <c r="O81" s="5" t="s">
        <v>110</v>
      </c>
      <c r="P81" s="1" t="s">
        <v>110</v>
      </c>
      <c r="Q81" s="6" t="s">
        <v>110</v>
      </c>
      <c r="R81" s="1" t="s">
        <v>32</v>
      </c>
      <c r="S81" s="7" t="str">
        <f>IF(J81="Não aplicável","N.A.",VLOOKUP(J81,'[1]Lista ONU'!$A$2:$D$2271,3))</f>
        <v>N.A.</v>
      </c>
      <c r="T81" s="7" t="str">
        <f>IF(J81="Não aplicável","N.A.",VLOOKUP(J81,'[1]Lista ONU'!$A$2:$D$2271,4))</f>
        <v>Ver PE 277</v>
      </c>
    </row>
    <row r="82" spans="1:20" x14ac:dyDescent="0.25">
      <c r="A82" s="4" t="s">
        <v>20</v>
      </c>
      <c r="B82" s="1" t="s">
        <v>290</v>
      </c>
      <c r="C82" s="1" t="s">
        <v>22</v>
      </c>
      <c r="D82" s="1" t="s">
        <v>291</v>
      </c>
      <c r="E82" s="5" t="s">
        <v>24</v>
      </c>
      <c r="F82" s="5" t="s">
        <v>292</v>
      </c>
      <c r="G82" s="1" t="s">
        <v>26</v>
      </c>
      <c r="H82" s="5" t="s">
        <v>27</v>
      </c>
      <c r="I82" s="5">
        <v>30</v>
      </c>
      <c r="J82" s="5">
        <v>1263</v>
      </c>
      <c r="K82" s="5" t="s">
        <v>28</v>
      </c>
      <c r="L82" s="1" t="s">
        <v>74</v>
      </c>
      <c r="M82" s="1" t="s">
        <v>75</v>
      </c>
      <c r="N82" s="5" t="s">
        <v>110</v>
      </c>
      <c r="O82" s="5" t="s">
        <v>110</v>
      </c>
      <c r="P82" s="1" t="s">
        <v>110</v>
      </c>
      <c r="Q82" s="6" t="s">
        <v>110</v>
      </c>
      <c r="R82" s="1" t="s">
        <v>32</v>
      </c>
      <c r="S82" s="7">
        <f>IF(J82="Não aplicável","N.A.",VLOOKUP(J82,'[1]Lista ONU'!$A$2:$D$2271,3))</f>
        <v>20</v>
      </c>
      <c r="T82" s="7" t="str">
        <f>IF(J82="Não aplicável","N.A.",VLOOKUP(J82,'[1]Lista ONU'!$A$2:$D$2271,4))</f>
        <v>5 L</v>
      </c>
    </row>
    <row r="83" spans="1:20" x14ac:dyDescent="0.25">
      <c r="A83" s="4" t="s">
        <v>128</v>
      </c>
      <c r="B83" s="1" t="s">
        <v>293</v>
      </c>
      <c r="C83" s="1" t="s">
        <v>22</v>
      </c>
      <c r="D83" s="1" t="s">
        <v>106</v>
      </c>
      <c r="E83" s="5" t="s">
        <v>228</v>
      </c>
      <c r="F83" s="5" t="s">
        <v>106</v>
      </c>
      <c r="G83" s="1" t="s">
        <v>229</v>
      </c>
      <c r="H83" s="1" t="s">
        <v>106</v>
      </c>
      <c r="I83" s="1" t="s">
        <v>106</v>
      </c>
      <c r="J83" s="1" t="s">
        <v>106</v>
      </c>
      <c r="K83" s="5" t="s">
        <v>28</v>
      </c>
      <c r="L83" s="1" t="s">
        <v>132</v>
      </c>
      <c r="M83" s="1" t="s">
        <v>110</v>
      </c>
      <c r="N83" s="1">
        <v>801897</v>
      </c>
      <c r="O83" s="1" t="s">
        <v>134</v>
      </c>
      <c r="P83" s="1">
        <v>150202</v>
      </c>
      <c r="Q83" s="6" t="s">
        <v>135</v>
      </c>
      <c r="R83" s="1" t="s">
        <v>32</v>
      </c>
      <c r="S83" s="7" t="str">
        <f>IF(J83="Não aplicável","N.A.",VLOOKUP(J83,'[1]Lista ONU'!$A$2:$D$2271,3))</f>
        <v>N.A.</v>
      </c>
      <c r="T83" s="7" t="str">
        <f>IF(J83="Não aplicável","N.A.",VLOOKUP(J83,'[1]Lista ONU'!$A$2:$D$2271,4))</f>
        <v>N.A.</v>
      </c>
    </row>
    <row r="84" spans="1:20" x14ac:dyDescent="0.25">
      <c r="A84" s="4" t="s">
        <v>20</v>
      </c>
      <c r="B84" s="1" t="s">
        <v>294</v>
      </c>
      <c r="C84" s="1" t="s">
        <v>22</v>
      </c>
      <c r="D84" s="1" t="s">
        <v>295</v>
      </c>
      <c r="E84" s="5" t="s">
        <v>24</v>
      </c>
      <c r="F84" s="5" t="s">
        <v>296</v>
      </c>
      <c r="G84" s="1" t="s">
        <v>26</v>
      </c>
      <c r="H84" s="5" t="s">
        <v>37</v>
      </c>
      <c r="I84" s="5">
        <v>80</v>
      </c>
      <c r="J84" s="5">
        <v>2796</v>
      </c>
      <c r="K84" s="5" t="s">
        <v>28</v>
      </c>
      <c r="L84" s="1" t="s">
        <v>297</v>
      </c>
      <c r="M84" s="1" t="s">
        <v>298</v>
      </c>
      <c r="N84" s="1">
        <v>801911</v>
      </c>
      <c r="O84" s="1" t="s">
        <v>299</v>
      </c>
      <c r="P84" s="1">
        <v>60106</v>
      </c>
      <c r="Q84" s="6" t="s">
        <v>39</v>
      </c>
      <c r="R84" s="1" t="s">
        <v>32</v>
      </c>
      <c r="S84" s="7">
        <f>IF(J84="Não aplicável","N.A.",VLOOKUP(J84,'[1]Lista ONU'!$A$2:$D$2271,3))</f>
        <v>333</v>
      </c>
      <c r="T84" s="7" t="str">
        <f>IF(J84="Não aplicável","N.A.",VLOOKUP(J84,'[1]Lista ONU'!$A$2:$D$2271,4))</f>
        <v>1 L</v>
      </c>
    </row>
    <row r="85" spans="1:20" x14ac:dyDescent="0.25">
      <c r="A85" s="4" t="s">
        <v>56</v>
      </c>
      <c r="B85" s="1" t="s">
        <v>300</v>
      </c>
      <c r="C85" s="1" t="s">
        <v>22</v>
      </c>
      <c r="D85" s="1" t="s">
        <v>106</v>
      </c>
      <c r="E85" s="5" t="s">
        <v>24</v>
      </c>
      <c r="F85" s="5" t="s">
        <v>301</v>
      </c>
      <c r="G85" s="1" t="s">
        <v>302</v>
      </c>
      <c r="H85" s="5" t="s">
        <v>62</v>
      </c>
      <c r="I85" s="5">
        <v>90</v>
      </c>
      <c r="J85" s="5">
        <v>3077</v>
      </c>
      <c r="K85" s="5" t="s">
        <v>28</v>
      </c>
      <c r="L85" s="1" t="s">
        <v>132</v>
      </c>
      <c r="M85" s="1" t="s">
        <v>133</v>
      </c>
      <c r="N85" s="1">
        <v>801894</v>
      </c>
      <c r="O85" s="1" t="s">
        <v>213</v>
      </c>
      <c r="P85" s="3">
        <v>160121</v>
      </c>
      <c r="Q85" s="6" t="s">
        <v>303</v>
      </c>
      <c r="R85" s="1" t="s">
        <v>32</v>
      </c>
      <c r="S85" s="7">
        <f>IF(J85="Não aplicável","N.A.",VLOOKUP(J85,'[1]Lista ONU'!$A$2:$D$2271,3))</f>
        <v>1000</v>
      </c>
      <c r="T85" s="7" t="str">
        <f>IF(J85="Não aplicável","N.A.",VLOOKUP(J85,'[1]Lista ONU'!$A$2:$D$2271,4))</f>
        <v>5 kg</v>
      </c>
    </row>
    <row r="86" spans="1:20" x14ac:dyDescent="0.25">
      <c r="A86" s="4" t="s">
        <v>20</v>
      </c>
      <c r="B86" s="1" t="s">
        <v>304</v>
      </c>
      <c r="C86" s="1" t="s">
        <v>22</v>
      </c>
      <c r="D86" s="1" t="s">
        <v>106</v>
      </c>
      <c r="E86" s="5" t="s">
        <v>24</v>
      </c>
      <c r="F86" s="5" t="s">
        <v>106</v>
      </c>
      <c r="G86" s="1" t="s">
        <v>73</v>
      </c>
      <c r="H86" s="5" t="s">
        <v>62</v>
      </c>
      <c r="I86" s="1">
        <v>90</v>
      </c>
      <c r="J86" s="1">
        <v>3077</v>
      </c>
      <c r="K86" s="5" t="s">
        <v>28</v>
      </c>
      <c r="L86" s="1" t="s">
        <v>109</v>
      </c>
      <c r="M86" s="1" t="s">
        <v>133</v>
      </c>
      <c r="N86" s="1">
        <v>801896</v>
      </c>
      <c r="O86" s="1" t="s">
        <v>188</v>
      </c>
      <c r="P86" s="1">
        <v>170204</v>
      </c>
      <c r="Q86" s="6" t="s">
        <v>103</v>
      </c>
      <c r="R86" s="1" t="s">
        <v>32</v>
      </c>
      <c r="S86" s="7">
        <f>IF(J86="Não aplicável","N.A.",VLOOKUP(J86,'[1]Lista ONU'!$A$2:$D$2271,3))</f>
        <v>1000</v>
      </c>
      <c r="T86" s="7" t="str">
        <f>IF(J86="Não aplicável","N.A.",VLOOKUP(J86,'[1]Lista ONU'!$A$2:$D$2271,4))</f>
        <v>5 kg</v>
      </c>
    </row>
    <row r="87" spans="1:20" x14ac:dyDescent="0.25">
      <c r="A87" s="4" t="s">
        <v>20</v>
      </c>
      <c r="B87" s="1" t="s">
        <v>305</v>
      </c>
      <c r="C87" s="1" t="s">
        <v>306</v>
      </c>
      <c r="D87" s="1" t="s">
        <v>59</v>
      </c>
      <c r="E87" s="5" t="s">
        <v>24</v>
      </c>
      <c r="F87" s="5" t="s">
        <v>54</v>
      </c>
      <c r="G87" s="1" t="s">
        <v>73</v>
      </c>
      <c r="H87" s="5" t="s">
        <v>62</v>
      </c>
      <c r="I87" s="5">
        <v>90</v>
      </c>
      <c r="J87" s="5">
        <v>3432</v>
      </c>
      <c r="K87" s="5" t="s">
        <v>28</v>
      </c>
      <c r="L87" s="1" t="s">
        <v>43</v>
      </c>
      <c r="M87" s="1" t="s">
        <v>122</v>
      </c>
      <c r="N87" s="1">
        <v>801902</v>
      </c>
      <c r="O87" s="1" t="s">
        <v>307</v>
      </c>
      <c r="P87" s="1">
        <v>170502</v>
      </c>
      <c r="Q87" s="6" t="s">
        <v>124</v>
      </c>
      <c r="R87" s="1" t="s">
        <v>32</v>
      </c>
      <c r="S87" s="7" t="str">
        <f>IF(J87="Não aplicável","N.A.",VLOOKUP(J87,'[1]Lista ONU'!$A$2:$D$2271,3))</f>
        <v>ZERO</v>
      </c>
      <c r="T87" s="7" t="str">
        <f>IF(J87="Não aplicável","N.A.",VLOOKUP(J87,'[1]Lista ONU'!$A$2:$D$2271,4))</f>
        <v>1 kg</v>
      </c>
    </row>
    <row r="88" spans="1:20" x14ac:dyDescent="0.25">
      <c r="A88" s="4" t="s">
        <v>20</v>
      </c>
      <c r="B88" s="1" t="s">
        <v>308</v>
      </c>
      <c r="C88" s="1" t="s">
        <v>22</v>
      </c>
      <c r="D88" s="1" t="s">
        <v>178</v>
      </c>
      <c r="E88" s="5" t="s">
        <v>24</v>
      </c>
      <c r="F88" s="5" t="s">
        <v>309</v>
      </c>
      <c r="G88" s="1" t="s">
        <v>73</v>
      </c>
      <c r="H88" s="5" t="s">
        <v>186</v>
      </c>
      <c r="I88" s="5">
        <v>20</v>
      </c>
      <c r="J88" s="5">
        <v>1950</v>
      </c>
      <c r="K88" s="5" t="s">
        <v>28</v>
      </c>
      <c r="L88" s="1" t="s">
        <v>310</v>
      </c>
      <c r="M88" s="1" t="s">
        <v>187</v>
      </c>
      <c r="N88" s="1">
        <v>801896</v>
      </c>
      <c r="O88" s="1" t="s">
        <v>188</v>
      </c>
      <c r="P88" s="1">
        <v>170204</v>
      </c>
      <c r="Q88" s="6" t="s">
        <v>103</v>
      </c>
      <c r="R88" s="1" t="s">
        <v>32</v>
      </c>
      <c r="S88" s="7" t="str">
        <f>IF(J88="Não aplicável","N.A.",VLOOKUP(J88,'[1]Lista ONU'!$A$2:$D$2271,3))</f>
        <v>N.A.</v>
      </c>
      <c r="T88" s="7" t="str">
        <f>IF(J88="Não aplicável","N.A.",VLOOKUP(J88,'[1]Lista ONU'!$A$2:$D$2271,4))</f>
        <v>Ver PE 277</v>
      </c>
    </row>
    <row r="89" spans="1:20" x14ac:dyDescent="0.25">
      <c r="A89" s="4" t="s">
        <v>311</v>
      </c>
      <c r="B89" s="1" t="s">
        <v>312</v>
      </c>
      <c r="C89" s="1" t="s">
        <v>22</v>
      </c>
      <c r="D89" s="1" t="s">
        <v>106</v>
      </c>
      <c r="E89" s="5" t="s">
        <v>107</v>
      </c>
      <c r="F89" s="5" t="s">
        <v>313</v>
      </c>
      <c r="G89" s="1" t="s">
        <v>314</v>
      </c>
      <c r="H89" s="1" t="s">
        <v>106</v>
      </c>
      <c r="I89" s="1" t="s">
        <v>106</v>
      </c>
      <c r="J89" s="1" t="s">
        <v>106</v>
      </c>
      <c r="K89" s="5" t="s">
        <v>28</v>
      </c>
      <c r="L89" s="1" t="s">
        <v>109</v>
      </c>
      <c r="M89" s="1" t="s">
        <v>110</v>
      </c>
      <c r="N89" s="1">
        <v>801934</v>
      </c>
      <c r="O89" s="1" t="s">
        <v>315</v>
      </c>
      <c r="P89" s="1">
        <v>30308</v>
      </c>
      <c r="Q89" s="6" t="s">
        <v>316</v>
      </c>
      <c r="R89" s="1" t="s">
        <v>32</v>
      </c>
      <c r="S89" s="7" t="str">
        <f>IF(J89="Não aplicável","N.A.",VLOOKUP(J89,'[1]Lista ONU'!$A$2:$D$2271,3))</f>
        <v>N.A.</v>
      </c>
      <c r="T89" s="7" t="str">
        <f>IF(J89="Não aplicável","N.A.",VLOOKUP(J89,'[1]Lista ONU'!$A$2:$D$2271,4))</f>
        <v>N.A.</v>
      </c>
    </row>
    <row r="90" spans="1:20" x14ac:dyDescent="0.25">
      <c r="A90" s="4" t="s">
        <v>20</v>
      </c>
      <c r="B90" s="1" t="s">
        <v>317</v>
      </c>
      <c r="C90" s="1" t="s">
        <v>22</v>
      </c>
      <c r="D90" s="1" t="s">
        <v>318</v>
      </c>
      <c r="E90" s="5" t="s">
        <v>24</v>
      </c>
      <c r="F90" s="5" t="s">
        <v>319</v>
      </c>
      <c r="G90" s="1" t="s">
        <v>147</v>
      </c>
      <c r="H90" s="1" t="s">
        <v>99</v>
      </c>
      <c r="I90" s="1">
        <v>60</v>
      </c>
      <c r="J90" s="5">
        <v>3017</v>
      </c>
      <c r="K90" s="5" t="s">
        <v>28</v>
      </c>
      <c r="L90" s="1" t="s">
        <v>43</v>
      </c>
      <c r="M90" s="1" t="s">
        <v>204</v>
      </c>
      <c r="N90" s="1">
        <v>801896</v>
      </c>
      <c r="O90" s="1" t="s">
        <v>188</v>
      </c>
      <c r="P90" s="1">
        <v>170204</v>
      </c>
      <c r="Q90" s="6" t="s">
        <v>103</v>
      </c>
      <c r="R90" s="1" t="s">
        <v>32</v>
      </c>
      <c r="S90" s="7">
        <f>IF(J90="Não aplicável","N.A.",VLOOKUP(J90,'[1]Lista ONU'!$A$2:$D$2271,3))</f>
        <v>20</v>
      </c>
      <c r="T90" s="7" t="str">
        <f>IF(J90="Não aplicável","N.A.",VLOOKUP(J90,'[1]Lista ONU'!$A$2:$D$2271,4))</f>
        <v>100 ml</v>
      </c>
    </row>
    <row r="91" spans="1:20" x14ac:dyDescent="0.25">
      <c r="A91" s="4" t="s">
        <v>20</v>
      </c>
      <c r="B91" s="1" t="s">
        <v>320</v>
      </c>
      <c r="C91" s="1" t="s">
        <v>22</v>
      </c>
      <c r="D91" s="1" t="s">
        <v>106</v>
      </c>
      <c r="E91" s="5" t="s">
        <v>228</v>
      </c>
      <c r="F91" s="5" t="s">
        <v>87</v>
      </c>
      <c r="G91" s="1" t="s">
        <v>321</v>
      </c>
      <c r="H91" s="1" t="s">
        <v>106</v>
      </c>
      <c r="I91" s="1" t="s">
        <v>106</v>
      </c>
      <c r="J91" s="1" t="s">
        <v>106</v>
      </c>
      <c r="K91" s="5" t="s">
        <v>322</v>
      </c>
      <c r="L91" s="1" t="s">
        <v>323</v>
      </c>
      <c r="M91" s="1" t="s">
        <v>110</v>
      </c>
      <c r="N91" s="5" t="s">
        <v>110</v>
      </c>
      <c r="O91" s="5" t="s">
        <v>110</v>
      </c>
      <c r="P91" s="1" t="s">
        <v>110</v>
      </c>
      <c r="Q91" s="6" t="s">
        <v>110</v>
      </c>
      <c r="R91" s="1" t="s">
        <v>32</v>
      </c>
      <c r="S91" s="7" t="str">
        <f>IF(J91="Não aplicável","N.A.",VLOOKUP(J91,'[1]Lista ONU'!$A$2:$D$2271,3))</f>
        <v>N.A.</v>
      </c>
      <c r="T91" s="7" t="str">
        <f>IF(J91="Não aplicável","N.A.",VLOOKUP(J91,'[1]Lista ONU'!$A$2:$D$2271,4))</f>
        <v>N.A.</v>
      </c>
    </row>
    <row r="92" spans="1:20" x14ac:dyDescent="0.25">
      <c r="A92" s="4" t="s">
        <v>128</v>
      </c>
      <c r="B92" s="1" t="s">
        <v>324</v>
      </c>
      <c r="C92" s="1" t="s">
        <v>22</v>
      </c>
      <c r="D92" s="1" t="s">
        <v>106</v>
      </c>
      <c r="E92" s="5" t="s">
        <v>228</v>
      </c>
      <c r="F92" s="5" t="s">
        <v>106</v>
      </c>
      <c r="G92" s="1" t="s">
        <v>325</v>
      </c>
      <c r="H92" s="1" t="s">
        <v>106</v>
      </c>
      <c r="I92" s="1" t="s">
        <v>106</v>
      </c>
      <c r="J92" s="1" t="s">
        <v>106</v>
      </c>
      <c r="K92" s="5" t="s">
        <v>28</v>
      </c>
      <c r="L92" s="5" t="s">
        <v>132</v>
      </c>
      <c r="M92" s="5" t="s">
        <v>110</v>
      </c>
      <c r="N92" s="5">
        <v>801897</v>
      </c>
      <c r="O92" s="5" t="s">
        <v>134</v>
      </c>
      <c r="P92" s="1">
        <v>150202</v>
      </c>
      <c r="Q92" s="6" t="s">
        <v>135</v>
      </c>
      <c r="R92" s="1" t="s">
        <v>32</v>
      </c>
      <c r="S92" s="7" t="str">
        <f>IF(J92="Não aplicável","N.A.",VLOOKUP(J92,'[1]Lista ONU'!$A$2:$D$2271,3))</f>
        <v>N.A.</v>
      </c>
      <c r="T92" s="7" t="str">
        <f>IF(J92="Não aplicável","N.A.",VLOOKUP(J92,'[1]Lista ONU'!$A$2:$D$2271,4))</f>
        <v>N.A.</v>
      </c>
    </row>
    <row r="93" spans="1:20" x14ac:dyDescent="0.25">
      <c r="A93" s="4" t="s">
        <v>114</v>
      </c>
      <c r="B93" s="1" t="s">
        <v>326</v>
      </c>
      <c r="C93" s="1" t="s">
        <v>95</v>
      </c>
      <c r="D93" s="1" t="s">
        <v>327</v>
      </c>
      <c r="E93" s="5" t="s">
        <v>24</v>
      </c>
      <c r="F93" s="5" t="s">
        <v>25</v>
      </c>
      <c r="G93" s="1" t="s">
        <v>106</v>
      </c>
      <c r="H93" s="1" t="s">
        <v>328</v>
      </c>
      <c r="I93" s="1">
        <v>20</v>
      </c>
      <c r="J93" s="1">
        <v>1080</v>
      </c>
      <c r="K93" s="5" t="s">
        <v>28</v>
      </c>
      <c r="L93" s="1" t="s">
        <v>109</v>
      </c>
      <c r="M93" s="1" t="s">
        <v>329</v>
      </c>
      <c r="N93" s="1">
        <v>294017</v>
      </c>
      <c r="O93" s="1" t="s">
        <v>330</v>
      </c>
      <c r="P93" s="1">
        <v>160214</v>
      </c>
      <c r="Q93" s="6" t="s">
        <v>251</v>
      </c>
      <c r="R93" s="1" t="s">
        <v>32</v>
      </c>
      <c r="S93" s="7">
        <f>IF(J93="Não aplicável","N.A.",VLOOKUP(J93,'[1]Lista ONU'!$A$2:$D$2271,3))</f>
        <v>1000</v>
      </c>
      <c r="T93" s="7" t="str">
        <f>IF(J93="Não aplicável","N.A.",VLOOKUP(J93,'[1]Lista ONU'!$A$2:$D$2271,4))</f>
        <v>120 ml</v>
      </c>
    </row>
    <row r="94" spans="1:20" x14ac:dyDescent="0.25">
      <c r="A94" s="4" t="s">
        <v>93</v>
      </c>
      <c r="B94" s="1" t="s">
        <v>331</v>
      </c>
      <c r="C94" s="1" t="s">
        <v>95</v>
      </c>
      <c r="D94" s="1" t="s">
        <v>96</v>
      </c>
      <c r="E94" s="5" t="s">
        <v>24</v>
      </c>
      <c r="F94" s="5" t="s">
        <v>97</v>
      </c>
      <c r="G94" s="1" t="s">
        <v>332</v>
      </c>
      <c r="H94" s="5" t="s">
        <v>37</v>
      </c>
      <c r="I94" s="5">
        <v>86</v>
      </c>
      <c r="J94" s="5">
        <v>3506</v>
      </c>
      <c r="K94" s="5" t="s">
        <v>28</v>
      </c>
      <c r="L94" s="1" t="s">
        <v>100</v>
      </c>
      <c r="M94" s="1" t="s">
        <v>333</v>
      </c>
      <c r="N94" s="1">
        <v>801909</v>
      </c>
      <c r="O94" s="1" t="s">
        <v>102</v>
      </c>
      <c r="P94" s="1">
        <v>170204</v>
      </c>
      <c r="Q94" s="6" t="s">
        <v>103</v>
      </c>
      <c r="R94" s="1" t="s">
        <v>32</v>
      </c>
      <c r="S94" s="7">
        <f>IF(J94="Não aplicável","N.A.",VLOOKUP(J94,'[1]Lista ONU'!$A$2:$D$2271,3))</f>
        <v>1000</v>
      </c>
      <c r="T94" s="7" t="str">
        <f>IF(J94="Não aplicável","N.A.",VLOOKUP(J94,'[1]Lista ONU'!$A$2:$D$2271,4))</f>
        <v>5 kg</v>
      </c>
    </row>
    <row r="95" spans="1:20" x14ac:dyDescent="0.25">
      <c r="A95" s="4" t="s">
        <v>128</v>
      </c>
      <c r="B95" s="1" t="s">
        <v>334</v>
      </c>
      <c r="C95" s="1" t="s">
        <v>22</v>
      </c>
      <c r="D95" s="1" t="s">
        <v>106</v>
      </c>
      <c r="E95" s="5" t="s">
        <v>228</v>
      </c>
      <c r="F95" s="5" t="s">
        <v>106</v>
      </c>
      <c r="G95" s="1" t="s">
        <v>325</v>
      </c>
      <c r="H95" s="1" t="s">
        <v>106</v>
      </c>
      <c r="I95" s="1" t="s">
        <v>106</v>
      </c>
      <c r="J95" s="1" t="s">
        <v>106</v>
      </c>
      <c r="K95" s="5" t="s">
        <v>28</v>
      </c>
      <c r="L95" s="5" t="s">
        <v>132</v>
      </c>
      <c r="M95" s="5" t="s">
        <v>110</v>
      </c>
      <c r="N95" s="5">
        <v>801897</v>
      </c>
      <c r="O95" s="5" t="s">
        <v>134</v>
      </c>
      <c r="P95" s="1">
        <v>150202</v>
      </c>
      <c r="Q95" s="6" t="s">
        <v>135</v>
      </c>
      <c r="R95" s="1" t="s">
        <v>32</v>
      </c>
      <c r="S95" s="7" t="str">
        <f>IF(J95="Não aplicável","N.A.",VLOOKUP(J95,'[1]Lista ONU'!$A$2:$D$2271,3))</f>
        <v>N.A.</v>
      </c>
      <c r="T95" s="7" t="str">
        <f>IF(J95="Não aplicável","N.A.",VLOOKUP(J95,'[1]Lista ONU'!$A$2:$D$2271,4))</f>
        <v>N.A.</v>
      </c>
    </row>
    <row r="96" spans="1:20" x14ac:dyDescent="0.25">
      <c r="A96" s="4" t="s">
        <v>128</v>
      </c>
      <c r="B96" s="1" t="s">
        <v>335</v>
      </c>
      <c r="C96" s="1" t="s">
        <v>22</v>
      </c>
      <c r="D96" s="1" t="s">
        <v>106</v>
      </c>
      <c r="E96" s="1" t="s">
        <v>107</v>
      </c>
      <c r="F96" s="5" t="s">
        <v>106</v>
      </c>
      <c r="G96" s="1" t="s">
        <v>336</v>
      </c>
      <c r="H96" s="1" t="s">
        <v>106</v>
      </c>
      <c r="I96" s="1" t="s">
        <v>106</v>
      </c>
      <c r="J96" s="1" t="s">
        <v>106</v>
      </c>
      <c r="K96" s="5" t="s">
        <v>28</v>
      </c>
      <c r="L96" s="1" t="s">
        <v>132</v>
      </c>
      <c r="M96" s="1" t="s">
        <v>110</v>
      </c>
      <c r="N96" s="1">
        <v>801897</v>
      </c>
      <c r="O96" s="1" t="s">
        <v>134</v>
      </c>
      <c r="P96" s="1">
        <v>150202</v>
      </c>
      <c r="Q96" s="6" t="s">
        <v>135</v>
      </c>
      <c r="R96" s="1" t="s">
        <v>32</v>
      </c>
      <c r="S96" s="7" t="str">
        <f>IF(J96="Não aplicável","N.A.",VLOOKUP(J96,'[1]Lista ONU'!$A$2:$D$2271,3))</f>
        <v>N.A.</v>
      </c>
      <c r="T96" s="7" t="str">
        <f>IF(J96="Não aplicável","N.A.",VLOOKUP(J96,'[1]Lista ONU'!$A$2:$D$2271,4))</f>
        <v>N.A.</v>
      </c>
    </row>
    <row r="97" spans="1:20" x14ac:dyDescent="0.25">
      <c r="A97" s="4" t="s">
        <v>114</v>
      </c>
      <c r="B97" s="1" t="s">
        <v>337</v>
      </c>
      <c r="C97" s="1" t="s">
        <v>22</v>
      </c>
      <c r="D97" s="1" t="s">
        <v>106</v>
      </c>
      <c r="E97" s="5" t="s">
        <v>107</v>
      </c>
      <c r="F97" s="5" t="s">
        <v>106</v>
      </c>
      <c r="G97" s="1" t="s">
        <v>232</v>
      </c>
      <c r="H97" s="1" t="s">
        <v>106</v>
      </c>
      <c r="I97" s="1" t="s">
        <v>106</v>
      </c>
      <c r="J97" s="1" t="s">
        <v>106</v>
      </c>
      <c r="K97" s="5" t="s">
        <v>28</v>
      </c>
      <c r="L97" s="1" t="s">
        <v>109</v>
      </c>
      <c r="M97" s="1" t="s">
        <v>110</v>
      </c>
      <c r="N97" s="1">
        <v>801939</v>
      </c>
      <c r="O97" s="1" t="s">
        <v>338</v>
      </c>
      <c r="P97" s="1">
        <v>160216</v>
      </c>
      <c r="Q97" s="6" t="s">
        <v>119</v>
      </c>
      <c r="R97" s="1" t="s">
        <v>32</v>
      </c>
      <c r="S97" s="7" t="str">
        <f>IF(J97="Não aplicável","N.A.",VLOOKUP(J97,'[1]Lista ONU'!$A$2:$D$2271,3))</f>
        <v>N.A.</v>
      </c>
      <c r="T97" s="7" t="str">
        <f>IF(J97="Não aplicável","N.A.",VLOOKUP(J97,'[1]Lista ONU'!$A$2:$D$2271,4))</f>
        <v>N.A.</v>
      </c>
    </row>
    <row r="98" spans="1:20" x14ac:dyDescent="0.25">
      <c r="A98" s="4" t="s">
        <v>128</v>
      </c>
      <c r="B98" s="1" t="s">
        <v>339</v>
      </c>
      <c r="C98" s="1" t="s">
        <v>22</v>
      </c>
      <c r="D98" s="1" t="s">
        <v>106</v>
      </c>
      <c r="E98" s="5" t="s">
        <v>228</v>
      </c>
      <c r="F98" s="5" t="s">
        <v>106</v>
      </c>
      <c r="G98" s="1" t="s">
        <v>241</v>
      </c>
      <c r="H98" s="1" t="s">
        <v>106</v>
      </c>
      <c r="I98" s="1" t="s">
        <v>106</v>
      </c>
      <c r="J98" s="1" t="s">
        <v>106</v>
      </c>
      <c r="K98" s="5" t="s">
        <v>28</v>
      </c>
      <c r="L98" s="1" t="s">
        <v>340</v>
      </c>
      <c r="M98" s="1" t="s">
        <v>110</v>
      </c>
      <c r="N98" s="1">
        <v>801897</v>
      </c>
      <c r="O98" s="1" t="s">
        <v>134</v>
      </c>
      <c r="P98" s="1">
        <v>150202</v>
      </c>
      <c r="Q98" s="6" t="s">
        <v>135</v>
      </c>
      <c r="R98" s="1" t="s">
        <v>32</v>
      </c>
      <c r="S98" s="7" t="str">
        <f>IF(J98="Não aplicável","N.A.",VLOOKUP(J98,'[1]Lista ONU'!$A$2:$D$2271,3))</f>
        <v>N.A.</v>
      </c>
      <c r="T98" s="7" t="str">
        <f>IF(J98="Não aplicável","N.A.",VLOOKUP(J98,'[1]Lista ONU'!$A$2:$D$2271,4))</f>
        <v>N.A.</v>
      </c>
    </row>
    <row r="99" spans="1:20" x14ac:dyDescent="0.25">
      <c r="A99" s="4" t="s">
        <v>20</v>
      </c>
      <c r="B99" s="1" t="s">
        <v>341</v>
      </c>
      <c r="C99" s="1" t="s">
        <v>22</v>
      </c>
      <c r="D99" s="1" t="s">
        <v>342</v>
      </c>
      <c r="E99" s="5" t="s">
        <v>24</v>
      </c>
      <c r="F99" s="5" t="s">
        <v>60</v>
      </c>
      <c r="G99" s="1" t="s">
        <v>73</v>
      </c>
      <c r="H99" s="5" t="s">
        <v>27</v>
      </c>
      <c r="I99" s="5">
        <v>33</v>
      </c>
      <c r="J99" s="5">
        <v>1263</v>
      </c>
      <c r="K99" s="5" t="s">
        <v>28</v>
      </c>
      <c r="L99" s="1" t="s">
        <v>343</v>
      </c>
      <c r="M99" s="1" t="s">
        <v>75</v>
      </c>
      <c r="N99" s="1">
        <v>801896</v>
      </c>
      <c r="O99" s="1" t="s">
        <v>188</v>
      </c>
      <c r="P99" s="1">
        <v>170204</v>
      </c>
      <c r="Q99" s="6" t="s">
        <v>103</v>
      </c>
      <c r="R99" s="1" t="s">
        <v>32</v>
      </c>
      <c r="S99" s="7">
        <f>IF(J99="Não aplicável","N.A.",VLOOKUP(J99,'[1]Lista ONU'!$A$2:$D$2271,3))</f>
        <v>20</v>
      </c>
      <c r="T99" s="7" t="str">
        <f>IF(J99="Não aplicável","N.A.",VLOOKUP(J99,'[1]Lista ONU'!$A$2:$D$2271,4))</f>
        <v>5 L</v>
      </c>
    </row>
    <row r="100" spans="1:20" x14ac:dyDescent="0.25">
      <c r="A100" s="4" t="s">
        <v>128</v>
      </c>
      <c r="B100" s="1" t="s">
        <v>344</v>
      </c>
      <c r="C100" s="1" t="s">
        <v>22</v>
      </c>
      <c r="D100" s="1" t="s">
        <v>106</v>
      </c>
      <c r="E100" s="5" t="s">
        <v>228</v>
      </c>
      <c r="F100" s="5" t="s">
        <v>106</v>
      </c>
      <c r="G100" s="1" t="s">
        <v>241</v>
      </c>
      <c r="H100" s="1" t="s">
        <v>106</v>
      </c>
      <c r="I100" s="1" t="s">
        <v>106</v>
      </c>
      <c r="J100" s="1" t="s">
        <v>106</v>
      </c>
      <c r="K100" s="5" t="s">
        <v>28</v>
      </c>
      <c r="L100" s="1" t="s">
        <v>109</v>
      </c>
      <c r="M100" s="1" t="s">
        <v>110</v>
      </c>
      <c r="N100" s="1">
        <v>801897</v>
      </c>
      <c r="O100" s="1" t="s">
        <v>134</v>
      </c>
      <c r="P100" s="1">
        <v>150202</v>
      </c>
      <c r="Q100" s="6" t="s">
        <v>135</v>
      </c>
      <c r="R100" s="1" t="s">
        <v>32</v>
      </c>
      <c r="S100" s="7" t="str">
        <f>IF(J100="Não aplicável","N.A.",VLOOKUP(J100,'[1]Lista ONU'!$A$2:$D$2271,3))</f>
        <v>N.A.</v>
      </c>
      <c r="T100" s="7" t="str">
        <f>IF(J100="Não aplicável","N.A.",VLOOKUP(J100,'[1]Lista ONU'!$A$2:$D$2271,4))</f>
        <v>N.A.</v>
      </c>
    </row>
    <row r="101" spans="1:20" x14ac:dyDescent="0.25">
      <c r="A101" s="4" t="s">
        <v>20</v>
      </c>
      <c r="B101" s="1" t="s">
        <v>345</v>
      </c>
      <c r="C101" s="1" t="s">
        <v>22</v>
      </c>
      <c r="D101" s="1" t="s">
        <v>193</v>
      </c>
      <c r="E101" s="5" t="s">
        <v>24</v>
      </c>
      <c r="F101" s="5" t="s">
        <v>25</v>
      </c>
      <c r="G101" s="1" t="s">
        <v>26</v>
      </c>
      <c r="H101" s="5" t="s">
        <v>27</v>
      </c>
      <c r="I101" s="5">
        <v>33</v>
      </c>
      <c r="J101" s="5">
        <v>1268</v>
      </c>
      <c r="K101" s="5" t="s">
        <v>28</v>
      </c>
      <c r="L101" s="5" t="s">
        <v>29</v>
      </c>
      <c r="M101" s="1" t="s">
        <v>346</v>
      </c>
      <c r="N101" s="5">
        <v>801910</v>
      </c>
      <c r="O101" s="5" t="s">
        <v>30</v>
      </c>
      <c r="P101" s="1">
        <v>70104</v>
      </c>
      <c r="Q101" s="6" t="s">
        <v>31</v>
      </c>
      <c r="R101" s="1" t="s">
        <v>32</v>
      </c>
      <c r="S101" s="7">
        <f>IF(J101="Não aplicável","N.A.",VLOOKUP(J101,'[1]Lista ONU'!$A$2:$D$2271,3))</f>
        <v>20</v>
      </c>
      <c r="T101" s="7" t="str">
        <f>IF(J101="Não aplicável","N.A.",VLOOKUP(J101,'[1]Lista ONU'!$A$2:$D$2271,4))</f>
        <v>1 L</v>
      </c>
    </row>
    <row r="102" spans="1:20" x14ac:dyDescent="0.25">
      <c r="A102" s="4" t="s">
        <v>215</v>
      </c>
      <c r="B102" s="1" t="s">
        <v>347</v>
      </c>
      <c r="C102" s="1" t="s">
        <v>22</v>
      </c>
      <c r="D102" s="1" t="s">
        <v>106</v>
      </c>
      <c r="E102" s="5" t="s">
        <v>107</v>
      </c>
      <c r="F102" s="5" t="s">
        <v>25</v>
      </c>
      <c r="G102" s="1" t="s">
        <v>217</v>
      </c>
      <c r="H102" s="1" t="s">
        <v>106</v>
      </c>
      <c r="I102" s="1" t="s">
        <v>106</v>
      </c>
      <c r="J102" s="1" t="s">
        <v>106</v>
      </c>
      <c r="K102" s="5" t="s">
        <v>28</v>
      </c>
      <c r="L102" s="1" t="s">
        <v>113</v>
      </c>
      <c r="M102" s="1" t="s">
        <v>110</v>
      </c>
      <c r="N102" s="1">
        <v>1776</v>
      </c>
      <c r="O102" s="1" t="s">
        <v>348</v>
      </c>
      <c r="P102" s="1">
        <v>170405</v>
      </c>
      <c r="Q102" s="6" t="s">
        <v>349</v>
      </c>
      <c r="R102" s="1" t="s">
        <v>113</v>
      </c>
      <c r="S102" s="7" t="str">
        <f>IF(J102="Não aplicável","N.A.",VLOOKUP(J102,'[1]Lista ONU'!$A$2:$D$2271,3))</f>
        <v>N.A.</v>
      </c>
      <c r="T102" s="7" t="str">
        <f>IF(J102="Não aplicável","N.A.",VLOOKUP(J102,'[1]Lista ONU'!$A$2:$D$2271,4))</f>
        <v>N.A.</v>
      </c>
    </row>
    <row r="103" spans="1:20" x14ac:dyDescent="0.25">
      <c r="A103" s="4" t="s">
        <v>114</v>
      </c>
      <c r="B103" s="1" t="s">
        <v>350</v>
      </c>
      <c r="C103" s="1" t="s">
        <v>95</v>
      </c>
      <c r="D103" s="1" t="s">
        <v>106</v>
      </c>
      <c r="E103" s="5" t="s">
        <v>107</v>
      </c>
      <c r="F103" s="5" t="s">
        <v>87</v>
      </c>
      <c r="G103" s="1" t="s">
        <v>167</v>
      </c>
      <c r="H103" s="1" t="s">
        <v>106</v>
      </c>
      <c r="I103" s="1" t="s">
        <v>106</v>
      </c>
      <c r="J103" s="1" t="s">
        <v>106</v>
      </c>
      <c r="K103" s="5" t="s">
        <v>28</v>
      </c>
      <c r="L103" s="5" t="s">
        <v>351</v>
      </c>
      <c r="M103" s="5" t="s">
        <v>110</v>
      </c>
      <c r="N103" s="5">
        <v>801898</v>
      </c>
      <c r="O103" s="5" t="s">
        <v>352</v>
      </c>
      <c r="P103" s="1">
        <v>101103</v>
      </c>
      <c r="Q103" s="6" t="s">
        <v>353</v>
      </c>
      <c r="R103" s="1" t="s">
        <v>32</v>
      </c>
      <c r="S103" s="7" t="str">
        <f>IF(J103="Não aplicável","N.A.",VLOOKUP(J103,'[1]Lista ONU'!$A$2:$D$2271,3))</f>
        <v>N.A.</v>
      </c>
      <c r="T103" s="7" t="str">
        <f>IF(J103="Não aplicável","N.A.",VLOOKUP(J103,'[1]Lista ONU'!$A$2:$D$2271,4))</f>
        <v>N.A.</v>
      </c>
    </row>
    <row r="104" spans="1:20" x14ac:dyDescent="0.25">
      <c r="A104" s="4" t="s">
        <v>20</v>
      </c>
      <c r="B104" s="1" t="s">
        <v>354</v>
      </c>
      <c r="C104" s="1" t="s">
        <v>22</v>
      </c>
      <c r="D104" s="1" t="s">
        <v>59</v>
      </c>
      <c r="E104" s="5" t="s">
        <v>24</v>
      </c>
      <c r="F104" s="5" t="s">
        <v>25</v>
      </c>
      <c r="G104" s="1" t="s">
        <v>355</v>
      </c>
      <c r="H104" s="5" t="s">
        <v>62</v>
      </c>
      <c r="I104" s="5">
        <v>90</v>
      </c>
      <c r="J104" s="5">
        <v>3077</v>
      </c>
      <c r="K104" s="5" t="s">
        <v>28</v>
      </c>
      <c r="L104" s="1" t="s">
        <v>132</v>
      </c>
      <c r="M104" s="1" t="s">
        <v>133</v>
      </c>
      <c r="N104" s="1">
        <v>801894</v>
      </c>
      <c r="O104" s="1" t="s">
        <v>213</v>
      </c>
      <c r="P104" s="3">
        <v>130899</v>
      </c>
      <c r="Q104" s="6" t="s">
        <v>356</v>
      </c>
      <c r="R104" s="1" t="s">
        <v>32</v>
      </c>
      <c r="S104" s="7">
        <f>IF(J104="Não aplicável","N.A.",VLOOKUP(J104,'[1]Lista ONU'!$A$2:$D$2271,3))</f>
        <v>1000</v>
      </c>
      <c r="T104" s="7" t="str">
        <f>IF(J104="Não aplicável","N.A.",VLOOKUP(J104,'[1]Lista ONU'!$A$2:$D$2271,4))</f>
        <v>5 kg</v>
      </c>
    </row>
    <row r="105" spans="1:20" x14ac:dyDescent="0.25">
      <c r="A105" s="4" t="s">
        <v>128</v>
      </c>
      <c r="B105" s="1" t="s">
        <v>357</v>
      </c>
      <c r="C105" s="1" t="s">
        <v>22</v>
      </c>
      <c r="D105" s="1" t="s">
        <v>358</v>
      </c>
      <c r="E105" s="5" t="s">
        <v>228</v>
      </c>
      <c r="F105" s="5" t="s">
        <v>106</v>
      </c>
      <c r="G105" s="1" t="s">
        <v>281</v>
      </c>
      <c r="H105" s="1" t="s">
        <v>106</v>
      </c>
      <c r="I105" s="1" t="s">
        <v>106</v>
      </c>
      <c r="J105" s="1" t="s">
        <v>106</v>
      </c>
      <c r="K105" s="5" t="s">
        <v>28</v>
      </c>
      <c r="L105" s="1" t="s">
        <v>117</v>
      </c>
      <c r="M105" s="1" t="s">
        <v>110</v>
      </c>
      <c r="N105" s="1">
        <v>801897</v>
      </c>
      <c r="O105" s="1" t="s">
        <v>134</v>
      </c>
      <c r="P105" s="1">
        <v>150202</v>
      </c>
      <c r="Q105" s="6" t="s">
        <v>135</v>
      </c>
      <c r="R105" s="1" t="s">
        <v>32</v>
      </c>
      <c r="S105" s="7" t="str">
        <f>IF(J105="Não aplicável","N.A.",VLOOKUP(J105,'[1]Lista ONU'!$A$2:$D$2271,3))</f>
        <v>N.A.</v>
      </c>
      <c r="T105" s="7" t="str">
        <f>IF(J105="Não aplicável","N.A.",VLOOKUP(J105,'[1]Lista ONU'!$A$2:$D$2271,4))</f>
        <v>N.A.</v>
      </c>
    </row>
    <row r="106" spans="1:20" x14ac:dyDescent="0.25">
      <c r="A106" s="4" t="s">
        <v>247</v>
      </c>
      <c r="B106" s="1" t="s">
        <v>359</v>
      </c>
      <c r="C106" s="1" t="s">
        <v>22</v>
      </c>
      <c r="D106" s="1" t="s">
        <v>106</v>
      </c>
      <c r="E106" s="5" t="s">
        <v>24</v>
      </c>
      <c r="F106" s="5" t="s">
        <v>360</v>
      </c>
      <c r="G106" s="1" t="s">
        <v>88</v>
      </c>
      <c r="H106" s="5" t="s">
        <v>62</v>
      </c>
      <c r="I106" s="5">
        <v>90</v>
      </c>
      <c r="J106" s="5">
        <v>3077</v>
      </c>
      <c r="K106" s="5" t="s">
        <v>28</v>
      </c>
      <c r="L106" s="1" t="s">
        <v>132</v>
      </c>
      <c r="M106" s="1" t="s">
        <v>133</v>
      </c>
      <c r="N106" s="1">
        <v>801900</v>
      </c>
      <c r="O106" s="1" t="s">
        <v>253</v>
      </c>
      <c r="P106" s="1">
        <v>80111</v>
      </c>
      <c r="Q106" s="6" t="s">
        <v>254</v>
      </c>
      <c r="R106" s="1" t="s">
        <v>32</v>
      </c>
      <c r="S106" s="7">
        <f>IF(J106="Não aplicável","N.A.",VLOOKUP(J106,'[1]Lista ONU'!$A$2:$D$2271,3))</f>
        <v>1000</v>
      </c>
      <c r="T106" s="7" t="str">
        <f>IF(J106="Não aplicável","N.A.",VLOOKUP(J106,'[1]Lista ONU'!$A$2:$D$2271,4))</f>
        <v>5 kg</v>
      </c>
    </row>
    <row r="107" spans="1:20" x14ac:dyDescent="0.25">
      <c r="A107" s="4" t="s">
        <v>20</v>
      </c>
      <c r="B107" s="1" t="s">
        <v>361</v>
      </c>
      <c r="C107" s="1" t="s">
        <v>22</v>
      </c>
      <c r="D107" s="1" t="s">
        <v>287</v>
      </c>
      <c r="E107" s="5" t="s">
        <v>24</v>
      </c>
      <c r="F107" s="5" t="s">
        <v>25</v>
      </c>
      <c r="G107" s="1" t="s">
        <v>26</v>
      </c>
      <c r="H107" s="5" t="s">
        <v>27</v>
      </c>
      <c r="I107" s="5">
        <v>33</v>
      </c>
      <c r="J107" s="5">
        <v>1203</v>
      </c>
      <c r="K107" s="5" t="s">
        <v>28</v>
      </c>
      <c r="L107" s="5" t="s">
        <v>194</v>
      </c>
      <c r="M107" s="5" t="s">
        <v>361</v>
      </c>
      <c r="N107" s="5">
        <v>801891</v>
      </c>
      <c r="O107" s="5" t="s">
        <v>362</v>
      </c>
      <c r="P107" s="1">
        <v>130103</v>
      </c>
      <c r="Q107" s="6" t="s">
        <v>363</v>
      </c>
      <c r="R107" s="1" t="s">
        <v>32</v>
      </c>
      <c r="S107" s="7">
        <f>IF(J107="Não aplicável","N.A.",VLOOKUP(J107,'[1]Lista ONU'!$A$2:$D$2271,3))</f>
        <v>333</v>
      </c>
      <c r="T107" s="7" t="str">
        <f>IF(J107="Não aplicável","N.A.",VLOOKUP(J107,'[1]Lista ONU'!$A$2:$D$2271,4))</f>
        <v>1 L</v>
      </c>
    </row>
    <row r="108" spans="1:20" x14ac:dyDescent="0.25">
      <c r="A108" s="4" t="s">
        <v>20</v>
      </c>
      <c r="B108" s="1" t="s">
        <v>364</v>
      </c>
      <c r="C108" s="1" t="s">
        <v>22</v>
      </c>
      <c r="D108" s="1" t="s">
        <v>365</v>
      </c>
      <c r="E108" s="5" t="s">
        <v>24</v>
      </c>
      <c r="F108" s="5" t="s">
        <v>25</v>
      </c>
      <c r="G108" s="1" t="s">
        <v>147</v>
      </c>
      <c r="H108" s="5" t="s">
        <v>62</v>
      </c>
      <c r="I108" s="1">
        <v>90</v>
      </c>
      <c r="J108" s="1">
        <v>2590</v>
      </c>
      <c r="K108" s="5" t="s">
        <v>28</v>
      </c>
      <c r="L108" s="1" t="s">
        <v>366</v>
      </c>
      <c r="M108" s="1" t="s">
        <v>90</v>
      </c>
      <c r="N108" s="1">
        <v>801890</v>
      </c>
      <c r="O108" s="1" t="s">
        <v>91</v>
      </c>
      <c r="P108" s="1">
        <v>160212</v>
      </c>
      <c r="Q108" s="6" t="s">
        <v>92</v>
      </c>
      <c r="R108" s="1" t="s">
        <v>32</v>
      </c>
      <c r="S108" s="7">
        <f>IF(J108="Não aplicável","N.A.",VLOOKUP(J108,'[1]Lista ONU'!$A$2:$D$2271,3))</f>
        <v>1000</v>
      </c>
      <c r="T108" s="7" t="str">
        <f>IF(J108="Não aplicável","N.A.",VLOOKUP(J108,'[1]Lista ONU'!$A$2:$D$2271,4))</f>
        <v>5 kg</v>
      </c>
    </row>
    <row r="109" spans="1:20" x14ac:dyDescent="0.25">
      <c r="A109" s="4" t="s">
        <v>20</v>
      </c>
      <c r="B109" s="1" t="s">
        <v>367</v>
      </c>
      <c r="C109" s="1" t="s">
        <v>22</v>
      </c>
      <c r="D109" s="1" t="s">
        <v>197</v>
      </c>
      <c r="E109" s="5" t="s">
        <v>107</v>
      </c>
      <c r="F109" s="5" t="s">
        <v>25</v>
      </c>
      <c r="G109" s="1" t="s">
        <v>198</v>
      </c>
      <c r="H109" s="1" t="s">
        <v>106</v>
      </c>
      <c r="I109" s="1" t="s">
        <v>106</v>
      </c>
      <c r="J109" s="1" t="s">
        <v>106</v>
      </c>
      <c r="K109" s="5" t="s">
        <v>28</v>
      </c>
      <c r="L109" s="1" t="s">
        <v>199</v>
      </c>
      <c r="M109" s="1" t="s">
        <v>110</v>
      </c>
      <c r="N109" s="5" t="s">
        <v>110</v>
      </c>
      <c r="O109" s="5" t="s">
        <v>110</v>
      </c>
      <c r="P109" s="1" t="s">
        <v>110</v>
      </c>
      <c r="Q109" s="6" t="s">
        <v>110</v>
      </c>
      <c r="R109" s="1" t="s">
        <v>32</v>
      </c>
      <c r="S109" s="7" t="str">
        <f>IF(J109="Não aplicável","N.A.",VLOOKUP(J109,'[1]Lista ONU'!$A$2:$D$2271,3))</f>
        <v>N.A.</v>
      </c>
      <c r="T109" s="7" t="str">
        <f>IF(J109="Não aplicável","N.A.",VLOOKUP(J109,'[1]Lista ONU'!$A$2:$D$2271,4))</f>
        <v>N.A.</v>
      </c>
    </row>
    <row r="110" spans="1:20" x14ac:dyDescent="0.25">
      <c r="A110" s="4" t="s">
        <v>368</v>
      </c>
      <c r="B110" s="1" t="s">
        <v>369</v>
      </c>
      <c r="C110" s="1" t="s">
        <v>22</v>
      </c>
      <c r="D110" s="1" t="s">
        <v>106</v>
      </c>
      <c r="E110" s="5" t="s">
        <v>228</v>
      </c>
      <c r="F110" s="5" t="s">
        <v>87</v>
      </c>
      <c r="G110" s="1" t="s">
        <v>266</v>
      </c>
      <c r="H110" s="1" t="s">
        <v>106</v>
      </c>
      <c r="I110" s="1" t="s">
        <v>106</v>
      </c>
      <c r="J110" s="1" t="s">
        <v>106</v>
      </c>
      <c r="K110" s="5" t="s">
        <v>28</v>
      </c>
      <c r="L110" s="1" t="s">
        <v>113</v>
      </c>
      <c r="M110" s="1" t="s">
        <v>110</v>
      </c>
      <c r="N110" s="1">
        <v>338004</v>
      </c>
      <c r="O110" s="1" t="s">
        <v>370</v>
      </c>
      <c r="P110" s="1">
        <v>170604</v>
      </c>
      <c r="Q110" s="6" t="s">
        <v>371</v>
      </c>
      <c r="R110" s="1" t="s">
        <v>113</v>
      </c>
      <c r="S110" s="7" t="str">
        <f>IF(J110="Não aplicável","N.A.",VLOOKUP(J110,'[1]Lista ONU'!$A$2:$D$2271,3))</f>
        <v>N.A.</v>
      </c>
      <c r="T110" s="7" t="str">
        <f>IF(J110="Não aplicável","N.A.",VLOOKUP(J110,'[1]Lista ONU'!$A$2:$D$2271,4))</f>
        <v>N.A.</v>
      </c>
    </row>
    <row r="111" spans="1:20" x14ac:dyDescent="0.25">
      <c r="A111" s="4" t="s">
        <v>372</v>
      </c>
      <c r="B111" s="1" t="s">
        <v>373</v>
      </c>
      <c r="C111" s="1" t="s">
        <v>22</v>
      </c>
      <c r="D111" s="1" t="s">
        <v>106</v>
      </c>
      <c r="E111" s="5" t="s">
        <v>107</v>
      </c>
      <c r="F111" s="5" t="s">
        <v>25</v>
      </c>
      <c r="G111" s="1" t="s">
        <v>198</v>
      </c>
      <c r="H111" s="1" t="s">
        <v>106</v>
      </c>
      <c r="I111" s="1" t="s">
        <v>106</v>
      </c>
      <c r="J111" s="1" t="s">
        <v>106</v>
      </c>
      <c r="K111" s="5" t="s">
        <v>28</v>
      </c>
      <c r="L111" s="1" t="s">
        <v>113</v>
      </c>
      <c r="M111" s="1" t="s">
        <v>110</v>
      </c>
      <c r="N111" s="1">
        <v>347088</v>
      </c>
      <c r="O111" s="1" t="s">
        <v>374</v>
      </c>
      <c r="P111" s="1">
        <v>170604</v>
      </c>
      <c r="Q111" s="6" t="s">
        <v>371</v>
      </c>
      <c r="R111" s="1" t="s">
        <v>113</v>
      </c>
      <c r="S111" s="7" t="str">
        <f>IF(J111="Não aplicável","N.A.",VLOOKUP(J111,'[1]Lista ONU'!$A$2:$D$2271,3))</f>
        <v>N.A.</v>
      </c>
      <c r="T111" s="7" t="str">
        <f>IF(J111="Não aplicável","N.A.",VLOOKUP(J111,'[1]Lista ONU'!$A$2:$D$2271,4))</f>
        <v>N.A.</v>
      </c>
    </row>
    <row r="112" spans="1:20" x14ac:dyDescent="0.25">
      <c r="A112" s="4" t="s">
        <v>114</v>
      </c>
      <c r="B112" s="1" t="s">
        <v>375</v>
      </c>
      <c r="C112" s="1" t="s">
        <v>22</v>
      </c>
      <c r="D112" s="1" t="s">
        <v>106</v>
      </c>
      <c r="E112" s="5" t="s">
        <v>107</v>
      </c>
      <c r="F112" s="5" t="s">
        <v>25</v>
      </c>
      <c r="G112" s="1" t="s">
        <v>266</v>
      </c>
      <c r="H112" s="1" t="s">
        <v>106</v>
      </c>
      <c r="I112" s="1" t="s">
        <v>106</v>
      </c>
      <c r="J112" s="1" t="s">
        <v>106</v>
      </c>
      <c r="K112" s="5" t="s">
        <v>28</v>
      </c>
      <c r="L112" s="1" t="s">
        <v>113</v>
      </c>
      <c r="M112" s="1" t="s">
        <v>110</v>
      </c>
      <c r="N112" s="5" t="s">
        <v>110</v>
      </c>
      <c r="O112" s="1" t="s">
        <v>110</v>
      </c>
      <c r="P112" s="1">
        <v>170604</v>
      </c>
      <c r="Q112" s="6" t="s">
        <v>371</v>
      </c>
      <c r="R112" s="1" t="s">
        <v>113</v>
      </c>
      <c r="S112" s="7" t="str">
        <f>IF(J112="Não aplicável","N.A.",VLOOKUP(J112,'[1]Lista ONU'!$A$2:$D$2271,3))</f>
        <v>N.A.</v>
      </c>
      <c r="T112" s="7" t="str">
        <f>IF(J112="Não aplicável","N.A.",VLOOKUP(J112,'[1]Lista ONU'!$A$2:$D$2271,4))</f>
        <v>N.A.</v>
      </c>
    </row>
    <row r="113" spans="1:20" x14ac:dyDescent="0.25">
      <c r="A113" s="4" t="s">
        <v>264</v>
      </c>
      <c r="B113" s="1" t="s">
        <v>376</v>
      </c>
      <c r="C113" s="1" t="s">
        <v>306</v>
      </c>
      <c r="D113" s="1" t="s">
        <v>106</v>
      </c>
      <c r="E113" s="5" t="s">
        <v>107</v>
      </c>
      <c r="F113" s="5" t="s">
        <v>87</v>
      </c>
      <c r="G113" s="1" t="s">
        <v>266</v>
      </c>
      <c r="H113" s="1" t="s">
        <v>106</v>
      </c>
      <c r="I113" s="1" t="s">
        <v>106</v>
      </c>
      <c r="J113" s="1" t="s">
        <v>106</v>
      </c>
      <c r="K113" s="5" t="s">
        <v>322</v>
      </c>
      <c r="L113" s="1" t="s">
        <v>132</v>
      </c>
      <c r="M113" s="1" t="s">
        <v>110</v>
      </c>
      <c r="N113" s="5" t="s">
        <v>110</v>
      </c>
      <c r="O113" s="1" t="s">
        <v>377</v>
      </c>
      <c r="P113" s="1" t="s">
        <v>110</v>
      </c>
      <c r="Q113" s="6" t="s">
        <v>110</v>
      </c>
      <c r="R113" s="1" t="s">
        <v>32</v>
      </c>
      <c r="S113" s="7" t="str">
        <f>IF(J113="Não aplicável","N.A.",VLOOKUP(J113,'[1]Lista ONU'!$A$2:$D$2271,3))</f>
        <v>N.A.</v>
      </c>
      <c r="T113" s="7" t="str">
        <f>IF(J113="Não aplicável","N.A.",VLOOKUP(J113,'[1]Lista ONU'!$A$2:$D$2271,4))</f>
        <v>N.A.</v>
      </c>
    </row>
    <row r="114" spans="1:20" x14ac:dyDescent="0.25">
      <c r="A114" s="4" t="s">
        <v>20</v>
      </c>
      <c r="B114" s="1" t="s">
        <v>378</v>
      </c>
      <c r="C114" s="1" t="s">
        <v>22</v>
      </c>
      <c r="D114" s="1" t="s">
        <v>106</v>
      </c>
      <c r="E114" s="5" t="s">
        <v>107</v>
      </c>
      <c r="F114" s="5" t="s">
        <v>87</v>
      </c>
      <c r="G114" s="1" t="s">
        <v>116</v>
      </c>
      <c r="H114" s="1" t="s">
        <v>106</v>
      </c>
      <c r="I114" s="1" t="s">
        <v>106</v>
      </c>
      <c r="J114" s="1" t="s">
        <v>106</v>
      </c>
      <c r="K114" s="5" t="s">
        <v>28</v>
      </c>
      <c r="L114" s="5" t="s">
        <v>351</v>
      </c>
      <c r="M114" s="5" t="s">
        <v>110</v>
      </c>
      <c r="N114" s="5">
        <v>801898</v>
      </c>
      <c r="O114" s="5" t="s">
        <v>352</v>
      </c>
      <c r="P114" s="1">
        <v>101103</v>
      </c>
      <c r="Q114" s="6" t="s">
        <v>353</v>
      </c>
      <c r="R114" s="1" t="s">
        <v>32</v>
      </c>
      <c r="S114" s="7" t="str">
        <f>IF(J114="Não aplicável","N.A.",VLOOKUP(J114,'[1]Lista ONU'!$A$2:$D$2271,3))</f>
        <v>N.A.</v>
      </c>
      <c r="T114" s="7" t="str">
        <f>IF(J114="Não aplicável","N.A.",VLOOKUP(J114,'[1]Lista ONU'!$A$2:$D$2271,4))</f>
        <v>N.A.</v>
      </c>
    </row>
    <row r="115" spans="1:20" x14ac:dyDescent="0.25">
      <c r="A115" s="4" t="s">
        <v>93</v>
      </c>
      <c r="B115" s="1" t="s">
        <v>379</v>
      </c>
      <c r="C115" s="1" t="s">
        <v>22</v>
      </c>
      <c r="D115" s="1" t="s">
        <v>96</v>
      </c>
      <c r="E115" s="5" t="s">
        <v>24</v>
      </c>
      <c r="F115" s="5" t="s">
        <v>380</v>
      </c>
      <c r="G115" s="1" t="s">
        <v>98</v>
      </c>
      <c r="H115" s="1" t="s">
        <v>99</v>
      </c>
      <c r="I115" s="1">
        <v>60</v>
      </c>
      <c r="J115" s="1">
        <v>3506</v>
      </c>
      <c r="K115" s="5" t="s">
        <v>28</v>
      </c>
      <c r="L115" s="1" t="s">
        <v>100</v>
      </c>
      <c r="M115" s="1" t="s">
        <v>204</v>
      </c>
      <c r="N115" s="1">
        <v>801926</v>
      </c>
      <c r="O115" s="1" t="s">
        <v>381</v>
      </c>
      <c r="P115" s="1">
        <v>170407</v>
      </c>
      <c r="Q115" s="6" t="s">
        <v>382</v>
      </c>
      <c r="R115" s="1" t="s">
        <v>32</v>
      </c>
      <c r="S115" s="7">
        <f>IF(J115="Não aplicável","N.A.",VLOOKUP(J115,'[1]Lista ONU'!$A$2:$D$2271,3))</f>
        <v>1000</v>
      </c>
      <c r="T115" s="7" t="str">
        <f>IF(J115="Não aplicável","N.A.",VLOOKUP(J115,'[1]Lista ONU'!$A$2:$D$2271,4))</f>
        <v>5 kg</v>
      </c>
    </row>
    <row r="116" spans="1:20" x14ac:dyDescent="0.25">
      <c r="A116" s="4" t="s">
        <v>93</v>
      </c>
      <c r="B116" s="1" t="s">
        <v>383</v>
      </c>
      <c r="C116" s="1" t="s">
        <v>95</v>
      </c>
      <c r="D116" s="1" t="s">
        <v>96</v>
      </c>
      <c r="E116" s="5" t="s">
        <v>24</v>
      </c>
      <c r="F116" s="5" t="s">
        <v>380</v>
      </c>
      <c r="G116" s="1" t="s">
        <v>384</v>
      </c>
      <c r="H116" s="1" t="s">
        <v>99</v>
      </c>
      <c r="I116" s="1">
        <v>60</v>
      </c>
      <c r="J116" s="1">
        <v>3506</v>
      </c>
      <c r="K116" s="5" t="s">
        <v>28</v>
      </c>
      <c r="L116" s="1" t="s">
        <v>100</v>
      </c>
      <c r="M116" s="1" t="s">
        <v>204</v>
      </c>
      <c r="N116" s="1">
        <v>801925</v>
      </c>
      <c r="O116" s="1" t="s">
        <v>385</v>
      </c>
      <c r="P116" s="1">
        <v>200121</v>
      </c>
      <c r="Q116" s="6" t="s">
        <v>386</v>
      </c>
      <c r="R116" s="1" t="s">
        <v>32</v>
      </c>
      <c r="S116" s="7">
        <f>IF(J116="Não aplicável","N.A.",VLOOKUP(J116,'[1]Lista ONU'!$A$2:$D$2271,3))</f>
        <v>1000</v>
      </c>
      <c r="T116" s="7" t="str">
        <f>IF(J116="Não aplicável","N.A.",VLOOKUP(J116,'[1]Lista ONU'!$A$2:$D$2271,4))</f>
        <v>5 kg</v>
      </c>
    </row>
    <row r="117" spans="1:20" x14ac:dyDescent="0.25">
      <c r="A117" s="4" t="s">
        <v>93</v>
      </c>
      <c r="B117" s="1" t="s">
        <v>387</v>
      </c>
      <c r="C117" s="1" t="s">
        <v>95</v>
      </c>
      <c r="D117" s="1" t="s">
        <v>96</v>
      </c>
      <c r="E117" s="5" t="s">
        <v>24</v>
      </c>
      <c r="F117" s="5" t="s">
        <v>388</v>
      </c>
      <c r="G117" s="1" t="s">
        <v>355</v>
      </c>
      <c r="H117" s="1" t="s">
        <v>99</v>
      </c>
      <c r="I117" s="1">
        <v>60</v>
      </c>
      <c r="J117" s="1">
        <v>3506</v>
      </c>
      <c r="K117" s="5" t="s">
        <v>28</v>
      </c>
      <c r="L117" s="5" t="s">
        <v>100</v>
      </c>
      <c r="M117" s="5" t="s">
        <v>204</v>
      </c>
      <c r="N117" s="5">
        <v>801925</v>
      </c>
      <c r="O117" s="5" t="s">
        <v>385</v>
      </c>
      <c r="P117" s="1">
        <v>200121</v>
      </c>
      <c r="Q117" s="6" t="s">
        <v>386</v>
      </c>
      <c r="R117" s="1" t="s">
        <v>32</v>
      </c>
      <c r="S117" s="7">
        <f>IF(J117="Não aplicável","N.A.",VLOOKUP(J117,'[1]Lista ONU'!$A$2:$D$2271,3))</f>
        <v>1000</v>
      </c>
      <c r="T117" s="7" t="str">
        <f>IF(J117="Não aplicável","N.A.",VLOOKUP(J117,'[1]Lista ONU'!$A$2:$D$2271,4))</f>
        <v>5 kg</v>
      </c>
    </row>
    <row r="118" spans="1:20" x14ac:dyDescent="0.25">
      <c r="A118" s="4" t="s">
        <v>20</v>
      </c>
      <c r="B118" s="1" t="s">
        <v>389</v>
      </c>
      <c r="C118" s="1" t="s">
        <v>95</v>
      </c>
      <c r="D118" s="1" t="s">
        <v>96</v>
      </c>
      <c r="E118" s="5" t="s">
        <v>24</v>
      </c>
      <c r="F118" s="5" t="s">
        <v>25</v>
      </c>
      <c r="G118" s="1" t="s">
        <v>390</v>
      </c>
      <c r="H118" s="5" t="s">
        <v>99</v>
      </c>
      <c r="I118" s="5">
        <v>60</v>
      </c>
      <c r="J118" s="1" t="s">
        <v>106</v>
      </c>
      <c r="K118" s="5" t="s">
        <v>28</v>
      </c>
      <c r="L118" s="1" t="s">
        <v>109</v>
      </c>
      <c r="M118" s="1" t="s">
        <v>110</v>
      </c>
      <c r="N118" s="1">
        <v>801924</v>
      </c>
      <c r="O118" s="1" t="s">
        <v>391</v>
      </c>
      <c r="P118" s="1">
        <v>200121</v>
      </c>
      <c r="Q118" s="6" t="s">
        <v>392</v>
      </c>
      <c r="R118" s="1" t="s">
        <v>32</v>
      </c>
      <c r="S118" s="7" t="str">
        <f>IF(J118="Não aplicável","N.A.",VLOOKUP(J118,'[1]Lista ONU'!$A$2:$D$2271,3))</f>
        <v>N.A.</v>
      </c>
      <c r="T118" s="7" t="str">
        <f>IF(J118="Não aplicável","N.A.",VLOOKUP(J118,'[1]Lista ONU'!$A$2:$D$2271,4))</f>
        <v>N.A.</v>
      </c>
    </row>
    <row r="119" spans="1:20" x14ac:dyDescent="0.25">
      <c r="A119" s="4" t="s">
        <v>93</v>
      </c>
      <c r="B119" s="1" t="s">
        <v>393</v>
      </c>
      <c r="C119" s="1" t="s">
        <v>22</v>
      </c>
      <c r="D119" s="1" t="s">
        <v>96</v>
      </c>
      <c r="E119" s="5" t="s">
        <v>24</v>
      </c>
      <c r="F119" s="5" t="s">
        <v>394</v>
      </c>
      <c r="G119" s="1" t="s">
        <v>355</v>
      </c>
      <c r="H119" s="5" t="s">
        <v>99</v>
      </c>
      <c r="I119" s="5">
        <v>60</v>
      </c>
      <c r="J119" s="1">
        <v>3506</v>
      </c>
      <c r="K119" s="5" t="s">
        <v>28</v>
      </c>
      <c r="L119" s="1" t="s">
        <v>100</v>
      </c>
      <c r="M119" s="1" t="s">
        <v>204</v>
      </c>
      <c r="N119" s="1">
        <v>801926</v>
      </c>
      <c r="O119" s="1" t="s">
        <v>381</v>
      </c>
      <c r="P119" s="1">
        <v>200121</v>
      </c>
      <c r="Q119" s="6" t="s">
        <v>382</v>
      </c>
      <c r="R119" s="1" t="s">
        <v>32</v>
      </c>
      <c r="S119" s="7">
        <f>IF(J119="Não aplicável","N.A.",VLOOKUP(J119,'[1]Lista ONU'!$A$2:$D$2271,3))</f>
        <v>1000</v>
      </c>
      <c r="T119" s="7" t="str">
        <f>IF(J119="Não aplicável","N.A.",VLOOKUP(J119,'[1]Lista ONU'!$A$2:$D$2271,4))</f>
        <v>5 kg</v>
      </c>
    </row>
    <row r="120" spans="1:20" x14ac:dyDescent="0.25">
      <c r="A120" s="4" t="s">
        <v>93</v>
      </c>
      <c r="B120" s="1" t="s">
        <v>395</v>
      </c>
      <c r="C120" s="1" t="s">
        <v>95</v>
      </c>
      <c r="D120" s="1" t="s">
        <v>96</v>
      </c>
      <c r="E120" s="5" t="s">
        <v>24</v>
      </c>
      <c r="F120" s="5" t="s">
        <v>394</v>
      </c>
      <c r="G120" s="1" t="s">
        <v>384</v>
      </c>
      <c r="H120" s="5" t="s">
        <v>99</v>
      </c>
      <c r="I120" s="5">
        <v>60</v>
      </c>
      <c r="J120" s="1">
        <v>3506</v>
      </c>
      <c r="K120" s="5" t="s">
        <v>28</v>
      </c>
      <c r="L120" s="1" t="s">
        <v>100</v>
      </c>
      <c r="M120" s="1" t="s">
        <v>204</v>
      </c>
      <c r="N120" s="1">
        <v>801925</v>
      </c>
      <c r="O120" s="1" t="s">
        <v>385</v>
      </c>
      <c r="P120" s="1">
        <v>200121</v>
      </c>
      <c r="Q120" s="6" t="s">
        <v>386</v>
      </c>
      <c r="R120" s="1" t="s">
        <v>32</v>
      </c>
      <c r="S120" s="7">
        <f>IF(J120="Não aplicável","N.A.",VLOOKUP(J120,'[1]Lista ONU'!$A$2:$D$2271,3))</f>
        <v>1000</v>
      </c>
      <c r="T120" s="7" t="str">
        <f>IF(J120="Não aplicável","N.A.",VLOOKUP(J120,'[1]Lista ONU'!$A$2:$D$2271,4))</f>
        <v>5 kg</v>
      </c>
    </row>
    <row r="121" spans="1:20" x14ac:dyDescent="0.25">
      <c r="A121" s="4" t="s">
        <v>20</v>
      </c>
      <c r="B121" s="1" t="s">
        <v>396</v>
      </c>
      <c r="C121" s="1" t="s">
        <v>95</v>
      </c>
      <c r="D121" s="1" t="s">
        <v>106</v>
      </c>
      <c r="E121" s="5" t="s">
        <v>107</v>
      </c>
      <c r="F121" s="5" t="s">
        <v>25</v>
      </c>
      <c r="G121" s="1" t="s">
        <v>198</v>
      </c>
      <c r="H121" s="1" t="s">
        <v>106</v>
      </c>
      <c r="I121" s="1" t="s">
        <v>106</v>
      </c>
      <c r="J121" s="1" t="s">
        <v>106</v>
      </c>
      <c r="K121" s="5" t="s">
        <v>28</v>
      </c>
      <c r="L121" s="1" t="s">
        <v>109</v>
      </c>
      <c r="M121" s="1" t="s">
        <v>110</v>
      </c>
      <c r="N121" s="1">
        <v>801924</v>
      </c>
      <c r="O121" s="1" t="s">
        <v>397</v>
      </c>
      <c r="P121" s="1">
        <v>200121</v>
      </c>
      <c r="Q121" s="6" t="s">
        <v>386</v>
      </c>
      <c r="R121" s="1" t="s">
        <v>32</v>
      </c>
      <c r="S121" s="7" t="str">
        <f>IF(J121="Não aplicável","N.A.",VLOOKUP(J121,'[1]Lista ONU'!$A$2:$D$2271,3))</f>
        <v>N.A.</v>
      </c>
      <c r="T121" s="7" t="str">
        <f>IF(J121="Não aplicável","N.A.",VLOOKUP(J121,'[1]Lista ONU'!$A$2:$D$2271,4))</f>
        <v>N.A.</v>
      </c>
    </row>
    <row r="122" spans="1:20" x14ac:dyDescent="0.25">
      <c r="A122" s="4" t="s">
        <v>20</v>
      </c>
      <c r="B122" s="1" t="s">
        <v>398</v>
      </c>
      <c r="C122" s="1" t="s">
        <v>22</v>
      </c>
      <c r="D122" s="1" t="s">
        <v>342</v>
      </c>
      <c r="E122" s="5" t="s">
        <v>24</v>
      </c>
      <c r="F122" s="5" t="s">
        <v>360</v>
      </c>
      <c r="G122" s="1" t="s">
        <v>73</v>
      </c>
      <c r="H122" s="5" t="s">
        <v>27</v>
      </c>
      <c r="I122" s="5">
        <v>30</v>
      </c>
      <c r="J122" s="5">
        <v>1263</v>
      </c>
      <c r="K122" s="5" t="s">
        <v>28</v>
      </c>
      <c r="L122" s="1" t="s">
        <v>43</v>
      </c>
      <c r="M122" s="1" t="s">
        <v>399</v>
      </c>
      <c r="N122" s="1">
        <v>801896</v>
      </c>
      <c r="O122" s="1" t="s">
        <v>188</v>
      </c>
      <c r="P122" s="1">
        <v>170204</v>
      </c>
      <c r="Q122" s="6" t="s">
        <v>103</v>
      </c>
      <c r="R122" s="1" t="s">
        <v>32</v>
      </c>
      <c r="S122" s="7">
        <f>IF(J122="Não aplicável","N.A.",VLOOKUP(J122,'[1]Lista ONU'!$A$2:$D$2271,3))</f>
        <v>20</v>
      </c>
      <c r="T122" s="7" t="str">
        <f>IF(J122="Não aplicável","N.A.",VLOOKUP(J122,'[1]Lista ONU'!$A$2:$D$2271,4))</f>
        <v>5 L</v>
      </c>
    </row>
    <row r="123" spans="1:20" x14ac:dyDescent="0.25">
      <c r="A123" s="4" t="s">
        <v>20</v>
      </c>
      <c r="B123" s="1" t="s">
        <v>400</v>
      </c>
      <c r="C123" s="1" t="s">
        <v>22</v>
      </c>
      <c r="D123" s="1" t="s">
        <v>106</v>
      </c>
      <c r="E123" s="5" t="s">
        <v>107</v>
      </c>
      <c r="F123" s="5" t="s">
        <v>360</v>
      </c>
      <c r="G123" s="1" t="s">
        <v>116</v>
      </c>
      <c r="H123" s="1" t="s">
        <v>106</v>
      </c>
      <c r="I123" s="1" t="s">
        <v>106</v>
      </c>
      <c r="J123" s="1" t="s">
        <v>106</v>
      </c>
      <c r="K123" s="5" t="s">
        <v>28</v>
      </c>
      <c r="L123" s="1" t="s">
        <v>109</v>
      </c>
      <c r="M123" s="1" t="s">
        <v>110</v>
      </c>
      <c r="N123" s="1">
        <v>801896</v>
      </c>
      <c r="O123" s="1" t="s">
        <v>188</v>
      </c>
      <c r="P123" s="1">
        <v>170204</v>
      </c>
      <c r="Q123" s="6" t="s">
        <v>103</v>
      </c>
      <c r="R123" s="1" t="s">
        <v>32</v>
      </c>
      <c r="S123" s="7" t="str">
        <f>IF(J123="Não aplicável","N.A.",VLOOKUP(J123,'[1]Lista ONU'!$A$2:$D$2271,3))</f>
        <v>N.A.</v>
      </c>
      <c r="T123" s="7" t="str">
        <f>IF(J123="Não aplicável","N.A.",VLOOKUP(J123,'[1]Lista ONU'!$A$2:$D$2271,4))</f>
        <v>N.A.</v>
      </c>
    </row>
    <row r="124" spans="1:20" x14ac:dyDescent="0.25">
      <c r="A124" s="4" t="s">
        <v>20</v>
      </c>
      <c r="B124" s="1" t="s">
        <v>401</v>
      </c>
      <c r="C124" s="1" t="s">
        <v>22</v>
      </c>
      <c r="D124" s="1" t="s">
        <v>402</v>
      </c>
      <c r="E124" s="5" t="s">
        <v>24</v>
      </c>
      <c r="F124" s="5" t="s">
        <v>403</v>
      </c>
      <c r="G124" s="1" t="s">
        <v>73</v>
      </c>
      <c r="H124" s="5" t="s">
        <v>99</v>
      </c>
      <c r="I124" s="5">
        <v>60</v>
      </c>
      <c r="J124" s="5">
        <v>3018</v>
      </c>
      <c r="K124" s="5" t="s">
        <v>28</v>
      </c>
      <c r="L124" s="1" t="s">
        <v>43</v>
      </c>
      <c r="M124" s="1" t="s">
        <v>204</v>
      </c>
      <c r="N124" s="1">
        <v>801896</v>
      </c>
      <c r="O124" s="1" t="s">
        <v>188</v>
      </c>
      <c r="P124" s="1">
        <v>170204</v>
      </c>
      <c r="Q124" s="6" t="s">
        <v>103</v>
      </c>
      <c r="R124" s="1" t="s">
        <v>32</v>
      </c>
      <c r="S124" s="7">
        <f>IF(J124="Não aplicável","N.A.",VLOOKUP(J124,'[1]Lista ONU'!$A$2:$D$2271,3))</f>
        <v>20</v>
      </c>
      <c r="T124" s="7" t="str">
        <f>IF(J124="Não aplicável","N.A.",VLOOKUP(J124,'[1]Lista ONU'!$A$2:$D$2271,4))</f>
        <v>100 ml</v>
      </c>
    </row>
    <row r="125" spans="1:20" x14ac:dyDescent="0.25">
      <c r="A125" s="4" t="s">
        <v>20</v>
      </c>
      <c r="B125" s="1" t="s">
        <v>404</v>
      </c>
      <c r="C125" s="1" t="s">
        <v>22</v>
      </c>
      <c r="D125" s="1" t="s">
        <v>106</v>
      </c>
      <c r="E125" s="5" t="s">
        <v>24</v>
      </c>
      <c r="F125" s="5" t="s">
        <v>405</v>
      </c>
      <c r="G125" s="1" t="s">
        <v>73</v>
      </c>
      <c r="H125" s="5" t="s">
        <v>62</v>
      </c>
      <c r="I125" s="1">
        <v>90</v>
      </c>
      <c r="J125" s="1">
        <v>3077</v>
      </c>
      <c r="K125" s="5" t="s">
        <v>28</v>
      </c>
      <c r="L125" s="1" t="s">
        <v>43</v>
      </c>
      <c r="M125" s="1" t="s">
        <v>133</v>
      </c>
      <c r="N125" s="1">
        <v>801896</v>
      </c>
      <c r="O125" s="1" t="s">
        <v>406</v>
      </c>
      <c r="P125" s="1">
        <v>170204</v>
      </c>
      <c r="Q125" s="6" t="s">
        <v>103</v>
      </c>
      <c r="R125" s="1" t="s">
        <v>32</v>
      </c>
      <c r="S125" s="7">
        <f>IF(J125="Não aplicável","N.A.",VLOOKUP(J125,'[1]Lista ONU'!$A$2:$D$2271,3))</f>
        <v>1000</v>
      </c>
      <c r="T125" s="7" t="str">
        <f>IF(J125="Não aplicável","N.A.",VLOOKUP(J125,'[1]Lista ONU'!$A$2:$D$2271,4))</f>
        <v>5 kg</v>
      </c>
    </row>
    <row r="126" spans="1:20" x14ac:dyDescent="0.25">
      <c r="A126" s="4" t="s">
        <v>20</v>
      </c>
      <c r="B126" s="1" t="s">
        <v>407</v>
      </c>
      <c r="C126" s="1" t="s">
        <v>22</v>
      </c>
      <c r="D126" s="1" t="s">
        <v>178</v>
      </c>
      <c r="E126" s="5" t="s">
        <v>24</v>
      </c>
      <c r="F126" s="5" t="s">
        <v>408</v>
      </c>
      <c r="G126" s="1" t="s">
        <v>147</v>
      </c>
      <c r="H126" s="1" t="s">
        <v>186</v>
      </c>
      <c r="I126" s="1">
        <v>20</v>
      </c>
      <c r="J126" s="5">
        <v>1950</v>
      </c>
      <c r="K126" s="5" t="s">
        <v>28</v>
      </c>
      <c r="L126" s="1" t="s">
        <v>310</v>
      </c>
      <c r="M126" s="1" t="s">
        <v>409</v>
      </c>
      <c r="N126" s="1">
        <v>801896</v>
      </c>
      <c r="O126" s="1" t="s">
        <v>406</v>
      </c>
      <c r="P126" s="1">
        <v>170204</v>
      </c>
      <c r="Q126" s="6" t="s">
        <v>103</v>
      </c>
      <c r="R126" s="1" t="s">
        <v>32</v>
      </c>
      <c r="S126" s="7" t="str">
        <f>IF(J126="Não aplicável","N.A.",VLOOKUP(J126,'[1]Lista ONU'!$A$2:$D$2271,3))</f>
        <v>N.A.</v>
      </c>
      <c r="T126" s="7" t="str">
        <f>IF(J126="Não aplicável","N.A.",VLOOKUP(J126,'[1]Lista ONU'!$A$2:$D$2271,4))</f>
        <v>Ver PE 277</v>
      </c>
    </row>
    <row r="127" spans="1:20" x14ac:dyDescent="0.25">
      <c r="A127" s="4" t="s">
        <v>20</v>
      </c>
      <c r="B127" s="1" t="s">
        <v>410</v>
      </c>
      <c r="C127" s="1" t="s">
        <v>22</v>
      </c>
      <c r="D127" s="1" t="s">
        <v>178</v>
      </c>
      <c r="E127" s="5" t="s">
        <v>24</v>
      </c>
      <c r="F127" s="5" t="s">
        <v>408</v>
      </c>
      <c r="G127" s="1" t="s">
        <v>147</v>
      </c>
      <c r="H127" s="1" t="s">
        <v>186</v>
      </c>
      <c r="I127" s="1">
        <v>20</v>
      </c>
      <c r="J127" s="5">
        <v>1950</v>
      </c>
      <c r="K127" s="5" t="s">
        <v>28</v>
      </c>
      <c r="L127" s="1" t="s">
        <v>109</v>
      </c>
      <c r="M127" s="1" t="s">
        <v>409</v>
      </c>
      <c r="N127" s="1">
        <v>801896</v>
      </c>
      <c r="O127" s="1" t="s">
        <v>406</v>
      </c>
      <c r="P127" s="1">
        <v>170204</v>
      </c>
      <c r="Q127" s="6" t="s">
        <v>103</v>
      </c>
      <c r="R127" s="1" t="s">
        <v>32</v>
      </c>
      <c r="S127" s="7" t="str">
        <f>IF(J127="Não aplicável","N.A.",VLOOKUP(J127,'[1]Lista ONU'!$A$2:$D$2271,3))</f>
        <v>N.A.</v>
      </c>
      <c r="T127" s="7" t="str">
        <f>IF(J127="Não aplicável","N.A.",VLOOKUP(J127,'[1]Lista ONU'!$A$2:$D$2271,4))</f>
        <v>Ver PE 277</v>
      </c>
    </row>
    <row r="128" spans="1:20" x14ac:dyDescent="0.25">
      <c r="A128" s="4" t="s">
        <v>20</v>
      </c>
      <c r="B128" s="1" t="s">
        <v>411</v>
      </c>
      <c r="C128" s="1" t="s">
        <v>22</v>
      </c>
      <c r="D128" s="1" t="s">
        <v>178</v>
      </c>
      <c r="E128" s="5" t="s">
        <v>24</v>
      </c>
      <c r="F128" s="5" t="s">
        <v>309</v>
      </c>
      <c r="G128" s="1" t="s">
        <v>147</v>
      </c>
      <c r="H128" s="5" t="s">
        <v>186</v>
      </c>
      <c r="I128" s="5">
        <v>20</v>
      </c>
      <c r="J128" s="5">
        <v>1950</v>
      </c>
      <c r="K128" s="5" t="s">
        <v>28</v>
      </c>
      <c r="L128" s="1" t="s">
        <v>310</v>
      </c>
      <c r="M128" s="1" t="s">
        <v>409</v>
      </c>
      <c r="N128" s="1">
        <v>801896</v>
      </c>
      <c r="O128" s="1" t="s">
        <v>406</v>
      </c>
      <c r="P128" s="1">
        <v>170204</v>
      </c>
      <c r="Q128" s="6" t="s">
        <v>103</v>
      </c>
      <c r="R128" s="1" t="s">
        <v>32</v>
      </c>
      <c r="S128" s="7" t="str">
        <f>IF(J128="Não aplicável","N.A.",VLOOKUP(J128,'[1]Lista ONU'!$A$2:$D$2271,3))</f>
        <v>N.A.</v>
      </c>
      <c r="T128" s="7" t="str">
        <f>IF(J128="Não aplicável","N.A.",VLOOKUP(J128,'[1]Lista ONU'!$A$2:$D$2271,4))</f>
        <v>Ver PE 277</v>
      </c>
    </row>
    <row r="129" spans="1:20" x14ac:dyDescent="0.25">
      <c r="A129" s="4" t="s">
        <v>20</v>
      </c>
      <c r="B129" s="1" t="s">
        <v>412</v>
      </c>
      <c r="C129" s="1" t="s">
        <v>22</v>
      </c>
      <c r="D129" s="1" t="s">
        <v>178</v>
      </c>
      <c r="E129" s="5" t="s">
        <v>24</v>
      </c>
      <c r="F129" s="5" t="s">
        <v>309</v>
      </c>
      <c r="G129" s="1" t="s">
        <v>147</v>
      </c>
      <c r="H129" s="5" t="s">
        <v>186</v>
      </c>
      <c r="I129" s="5">
        <v>20</v>
      </c>
      <c r="J129" s="5">
        <v>1950</v>
      </c>
      <c r="K129" s="5" t="s">
        <v>28</v>
      </c>
      <c r="L129" s="1" t="s">
        <v>310</v>
      </c>
      <c r="M129" s="1" t="s">
        <v>409</v>
      </c>
      <c r="N129" s="1">
        <v>801896</v>
      </c>
      <c r="O129" s="1" t="s">
        <v>406</v>
      </c>
      <c r="P129" s="1">
        <v>170204</v>
      </c>
      <c r="Q129" s="6" t="s">
        <v>103</v>
      </c>
      <c r="R129" s="1" t="s">
        <v>32</v>
      </c>
      <c r="S129" s="7" t="str">
        <f>IF(J129="Não aplicável","N.A.",VLOOKUP(J129,'[1]Lista ONU'!$A$2:$D$2271,3))</f>
        <v>N.A.</v>
      </c>
      <c r="T129" s="7" t="str">
        <f>IF(J129="Não aplicável","N.A.",VLOOKUP(J129,'[1]Lista ONU'!$A$2:$D$2271,4))</f>
        <v>Ver PE 277</v>
      </c>
    </row>
    <row r="130" spans="1:20" x14ac:dyDescent="0.25">
      <c r="A130" s="4" t="s">
        <v>20</v>
      </c>
      <c r="B130" s="1" t="s">
        <v>413</v>
      </c>
      <c r="C130" s="1" t="s">
        <v>22</v>
      </c>
      <c r="D130" s="1" t="s">
        <v>178</v>
      </c>
      <c r="E130" s="5" t="s">
        <v>24</v>
      </c>
      <c r="F130" s="5" t="s">
        <v>408</v>
      </c>
      <c r="G130" s="1" t="s">
        <v>147</v>
      </c>
      <c r="H130" s="1" t="s">
        <v>186</v>
      </c>
      <c r="I130" s="1">
        <v>20</v>
      </c>
      <c r="J130" s="5">
        <v>1950</v>
      </c>
      <c r="K130" s="5" t="s">
        <v>28</v>
      </c>
      <c r="L130" s="1" t="s">
        <v>109</v>
      </c>
      <c r="M130" s="1" t="s">
        <v>409</v>
      </c>
      <c r="N130" s="1">
        <v>801896</v>
      </c>
      <c r="O130" s="1" t="s">
        <v>406</v>
      </c>
      <c r="P130" s="1">
        <v>170204</v>
      </c>
      <c r="Q130" s="6" t="s">
        <v>103</v>
      </c>
      <c r="R130" s="1" t="s">
        <v>32</v>
      </c>
      <c r="S130" s="7" t="str">
        <f>IF(J130="Não aplicável","N.A.",VLOOKUP(J130,'[1]Lista ONU'!$A$2:$D$2271,3))</f>
        <v>N.A.</v>
      </c>
      <c r="T130" s="7" t="str">
        <f>IF(J130="Não aplicável","N.A.",VLOOKUP(J130,'[1]Lista ONU'!$A$2:$D$2271,4))</f>
        <v>Ver PE 277</v>
      </c>
    </row>
    <row r="131" spans="1:20" x14ac:dyDescent="0.25">
      <c r="A131" s="4" t="s">
        <v>128</v>
      </c>
      <c r="B131" s="1" t="s">
        <v>414</v>
      </c>
      <c r="C131" s="1" t="s">
        <v>22</v>
      </c>
      <c r="D131" s="1" t="s">
        <v>106</v>
      </c>
      <c r="E131" s="5" t="s">
        <v>228</v>
      </c>
      <c r="F131" s="5" t="s">
        <v>106</v>
      </c>
      <c r="G131" s="1" t="s">
        <v>229</v>
      </c>
      <c r="H131" s="1" t="s">
        <v>106</v>
      </c>
      <c r="I131" s="1" t="s">
        <v>106</v>
      </c>
      <c r="J131" s="1" t="s">
        <v>106</v>
      </c>
      <c r="K131" s="5" t="s">
        <v>28</v>
      </c>
      <c r="L131" s="1" t="s">
        <v>132</v>
      </c>
      <c r="M131" s="1" t="s">
        <v>110</v>
      </c>
      <c r="N131" s="1">
        <v>801897</v>
      </c>
      <c r="O131" s="1" t="s">
        <v>134</v>
      </c>
      <c r="P131" s="1">
        <v>150202</v>
      </c>
      <c r="Q131" s="6" t="s">
        <v>135</v>
      </c>
      <c r="R131" s="1" t="s">
        <v>32</v>
      </c>
      <c r="S131" s="7" t="str">
        <f>IF(J131="Não aplicável","N.A.",VLOOKUP(J131,'[1]Lista ONU'!$A$2:$D$2271,3))</f>
        <v>N.A.</v>
      </c>
      <c r="T131" s="7" t="str">
        <f>IF(J131="Não aplicável","N.A.",VLOOKUP(J131,'[1]Lista ONU'!$A$2:$D$2271,4))</f>
        <v>N.A.</v>
      </c>
    </row>
    <row r="132" spans="1:20" x14ac:dyDescent="0.25">
      <c r="A132" s="4" t="s">
        <v>20</v>
      </c>
      <c r="B132" s="1" t="s">
        <v>415</v>
      </c>
      <c r="C132" s="1" t="s">
        <v>22</v>
      </c>
      <c r="D132" s="1" t="s">
        <v>53</v>
      </c>
      <c r="E132" s="5" t="s">
        <v>24</v>
      </c>
      <c r="F132" s="5" t="s">
        <v>54</v>
      </c>
      <c r="G132" s="1" t="s">
        <v>26</v>
      </c>
      <c r="H132" s="5" t="s">
        <v>37</v>
      </c>
      <c r="I132" s="5">
        <v>80</v>
      </c>
      <c r="J132" s="5">
        <v>1760</v>
      </c>
      <c r="K132" s="5" t="s">
        <v>28</v>
      </c>
      <c r="L132" s="1" t="s">
        <v>43</v>
      </c>
      <c r="M132" s="1" t="s">
        <v>55</v>
      </c>
      <c r="N132" s="1">
        <v>801911</v>
      </c>
      <c r="O132" s="1" t="s">
        <v>299</v>
      </c>
      <c r="P132" s="1">
        <v>60106</v>
      </c>
      <c r="Q132" s="6" t="s">
        <v>39</v>
      </c>
      <c r="R132" s="1" t="s">
        <v>32</v>
      </c>
      <c r="S132" s="7">
        <f>IF(J132="Não aplicável","N.A.",VLOOKUP(J132,'[1]Lista ONU'!$A$2:$D$2271,3))</f>
        <v>20</v>
      </c>
      <c r="T132" s="7" t="str">
        <f>IF(J132="Não aplicável","N.A.",VLOOKUP(J132,'[1]Lista ONU'!$A$2:$D$2271,4))</f>
        <v>1 L</v>
      </c>
    </row>
    <row r="133" spans="1:20" x14ac:dyDescent="0.25">
      <c r="A133" s="4" t="s">
        <v>416</v>
      </c>
      <c r="B133" s="1" t="s">
        <v>417</v>
      </c>
      <c r="C133" s="1" t="s">
        <v>22</v>
      </c>
      <c r="D133" s="1" t="s">
        <v>418</v>
      </c>
      <c r="E133" s="5" t="s">
        <v>107</v>
      </c>
      <c r="F133" s="5" t="s">
        <v>106</v>
      </c>
      <c r="G133" s="5" t="s">
        <v>419</v>
      </c>
      <c r="H133" s="1" t="s">
        <v>106</v>
      </c>
      <c r="I133" s="1" t="s">
        <v>106</v>
      </c>
      <c r="J133" s="1" t="s">
        <v>106</v>
      </c>
      <c r="K133" s="5" t="s">
        <v>322</v>
      </c>
      <c r="L133" s="1" t="s">
        <v>420</v>
      </c>
      <c r="M133" s="1" t="s">
        <v>110</v>
      </c>
      <c r="N133" s="5" t="s">
        <v>110</v>
      </c>
      <c r="O133" s="1" t="s">
        <v>421</v>
      </c>
      <c r="P133" s="1" t="s">
        <v>110</v>
      </c>
      <c r="Q133" s="6" t="s">
        <v>110</v>
      </c>
      <c r="R133" s="1" t="s">
        <v>32</v>
      </c>
      <c r="S133" s="7" t="str">
        <f>IF(J133="Não aplicável","N.A.",VLOOKUP(J133,'[1]Lista ONU'!$A$2:$D$2271,3))</f>
        <v>N.A.</v>
      </c>
      <c r="T133" s="7" t="str">
        <f>IF(J133="Não aplicável","N.A.",VLOOKUP(J133,'[1]Lista ONU'!$A$2:$D$2271,4))</f>
        <v>N.A.</v>
      </c>
    </row>
    <row r="134" spans="1:20" x14ac:dyDescent="0.25">
      <c r="A134" s="4" t="s">
        <v>416</v>
      </c>
      <c r="B134" s="1" t="s">
        <v>422</v>
      </c>
      <c r="C134" s="1" t="s">
        <v>22</v>
      </c>
      <c r="D134" s="1" t="s">
        <v>418</v>
      </c>
      <c r="E134" s="5" t="s">
        <v>107</v>
      </c>
      <c r="F134" s="5" t="s">
        <v>106</v>
      </c>
      <c r="G134" s="5" t="s">
        <v>419</v>
      </c>
      <c r="H134" s="1" t="s">
        <v>106</v>
      </c>
      <c r="I134" s="1" t="s">
        <v>106</v>
      </c>
      <c r="J134" s="1" t="s">
        <v>106</v>
      </c>
      <c r="K134" s="5" t="s">
        <v>322</v>
      </c>
      <c r="L134" s="1" t="s">
        <v>420</v>
      </c>
      <c r="M134" s="1" t="s">
        <v>110</v>
      </c>
      <c r="N134" s="1">
        <v>801938</v>
      </c>
      <c r="O134" s="1" t="s">
        <v>423</v>
      </c>
      <c r="P134" s="1">
        <v>200108</v>
      </c>
      <c r="Q134" s="6" t="s">
        <v>424</v>
      </c>
      <c r="R134" s="1" t="s">
        <v>32</v>
      </c>
      <c r="S134" s="7" t="str">
        <f>IF(J134="Não aplicável","N.A.",VLOOKUP(J134,'[1]Lista ONU'!$A$2:$D$2271,3))</f>
        <v>N.A.</v>
      </c>
      <c r="T134" s="7" t="str">
        <f>IF(J134="Não aplicável","N.A.",VLOOKUP(J134,'[1]Lista ONU'!$A$2:$D$2271,4))</f>
        <v>N.A.</v>
      </c>
    </row>
    <row r="135" spans="1:20" x14ac:dyDescent="0.25">
      <c r="A135" s="4" t="s">
        <v>56</v>
      </c>
      <c r="B135" s="1" t="s">
        <v>425</v>
      </c>
      <c r="C135" s="1" t="s">
        <v>22</v>
      </c>
      <c r="D135" s="1" t="s">
        <v>59</v>
      </c>
      <c r="E135" s="5" t="s">
        <v>24</v>
      </c>
      <c r="F135" s="5" t="s">
        <v>60</v>
      </c>
      <c r="G135" s="1" t="s">
        <v>73</v>
      </c>
      <c r="H135" s="5" t="s">
        <v>62</v>
      </c>
      <c r="I135" s="5">
        <v>90</v>
      </c>
      <c r="J135" s="5">
        <v>3077</v>
      </c>
      <c r="K135" s="5" t="s">
        <v>28</v>
      </c>
      <c r="L135" s="1" t="s">
        <v>132</v>
      </c>
      <c r="M135" s="1" t="s">
        <v>133</v>
      </c>
      <c r="N135" s="1">
        <v>801894</v>
      </c>
      <c r="O135" s="1" t="s">
        <v>213</v>
      </c>
      <c r="P135" s="3">
        <v>130502</v>
      </c>
      <c r="Q135" s="6" t="s">
        <v>426</v>
      </c>
      <c r="R135" s="1" t="s">
        <v>32</v>
      </c>
      <c r="S135" s="7">
        <f>IF(J135="Não aplicável","N.A.",VLOOKUP(J135,'[1]Lista ONU'!$A$2:$D$2271,3))</f>
        <v>1000</v>
      </c>
      <c r="T135" s="7" t="str">
        <f>IF(J135="Não aplicável","N.A.",VLOOKUP(J135,'[1]Lista ONU'!$A$2:$D$2271,4))</f>
        <v>5 kg</v>
      </c>
    </row>
    <row r="136" spans="1:20" x14ac:dyDescent="0.25">
      <c r="A136" s="4" t="s">
        <v>128</v>
      </c>
      <c r="B136" s="1" t="s">
        <v>427</v>
      </c>
      <c r="C136" s="1" t="s">
        <v>22</v>
      </c>
      <c r="D136" s="1" t="s">
        <v>106</v>
      </c>
      <c r="E136" s="5" t="s">
        <v>107</v>
      </c>
      <c r="F136" s="5" t="s">
        <v>106</v>
      </c>
      <c r="G136" s="1" t="s">
        <v>428</v>
      </c>
      <c r="H136" s="1" t="s">
        <v>106</v>
      </c>
      <c r="I136" s="1" t="s">
        <v>106</v>
      </c>
      <c r="J136" s="1" t="s">
        <v>106</v>
      </c>
      <c r="K136" s="5" t="s">
        <v>28</v>
      </c>
      <c r="L136" s="5" t="s">
        <v>132</v>
      </c>
      <c r="M136" s="5" t="s">
        <v>110</v>
      </c>
      <c r="N136" s="5">
        <v>801897</v>
      </c>
      <c r="O136" s="5" t="s">
        <v>134</v>
      </c>
      <c r="P136" s="1">
        <v>150202</v>
      </c>
      <c r="Q136" s="6" t="s">
        <v>135</v>
      </c>
      <c r="R136" s="1" t="s">
        <v>32</v>
      </c>
      <c r="S136" s="7" t="str">
        <f>IF(J136="Não aplicável","N.A.",VLOOKUP(J136,'[1]Lista ONU'!$A$2:$D$2271,3))</f>
        <v>N.A.</v>
      </c>
      <c r="T136" s="7" t="str">
        <f>IF(J136="Não aplicável","N.A.",VLOOKUP(J136,'[1]Lista ONU'!$A$2:$D$2271,4))</f>
        <v>N.A.</v>
      </c>
    </row>
    <row r="137" spans="1:20" x14ac:dyDescent="0.25">
      <c r="A137" s="4" t="s">
        <v>128</v>
      </c>
      <c r="B137" s="1" t="s">
        <v>429</v>
      </c>
      <c r="C137" s="1" t="s">
        <v>22</v>
      </c>
      <c r="D137" s="1" t="s">
        <v>106</v>
      </c>
      <c r="E137" s="5" t="s">
        <v>107</v>
      </c>
      <c r="F137" s="5" t="s">
        <v>106</v>
      </c>
      <c r="G137" s="1" t="s">
        <v>428</v>
      </c>
      <c r="H137" s="1" t="s">
        <v>106</v>
      </c>
      <c r="I137" s="1" t="s">
        <v>106</v>
      </c>
      <c r="J137" s="1" t="s">
        <v>106</v>
      </c>
      <c r="K137" s="5" t="s">
        <v>28</v>
      </c>
      <c r="L137" s="5" t="s">
        <v>132</v>
      </c>
      <c r="M137" s="5" t="s">
        <v>110</v>
      </c>
      <c r="N137" s="5">
        <v>801897</v>
      </c>
      <c r="O137" s="5" t="s">
        <v>134</v>
      </c>
      <c r="P137" s="1">
        <v>150202</v>
      </c>
      <c r="Q137" s="6" t="s">
        <v>135</v>
      </c>
      <c r="R137" s="1" t="s">
        <v>32</v>
      </c>
      <c r="S137" s="7" t="str">
        <f>IF(J137="Não aplicável","N.A.",VLOOKUP(J137,'[1]Lista ONU'!$A$2:$D$2271,3))</f>
        <v>N.A.</v>
      </c>
      <c r="T137" s="7" t="str">
        <f>IF(J137="Não aplicável","N.A.",VLOOKUP(J137,'[1]Lista ONU'!$A$2:$D$2271,4))</f>
        <v>N.A.</v>
      </c>
    </row>
    <row r="138" spans="1:20" x14ac:dyDescent="0.25">
      <c r="A138" s="4" t="s">
        <v>264</v>
      </c>
      <c r="B138" s="1" t="s">
        <v>430</v>
      </c>
      <c r="C138" s="1" t="s">
        <v>22</v>
      </c>
      <c r="D138" s="1" t="s">
        <v>431</v>
      </c>
      <c r="E138" s="5" t="s">
        <v>107</v>
      </c>
      <c r="F138" s="5" t="s">
        <v>25</v>
      </c>
      <c r="G138" s="1" t="s">
        <v>432</v>
      </c>
      <c r="H138" s="1" t="s">
        <v>106</v>
      </c>
      <c r="I138" s="1" t="s">
        <v>106</v>
      </c>
      <c r="J138" s="1" t="s">
        <v>106</v>
      </c>
      <c r="K138" s="5" t="s">
        <v>28</v>
      </c>
      <c r="L138" s="1" t="s">
        <v>109</v>
      </c>
      <c r="M138" s="1" t="s">
        <v>110</v>
      </c>
      <c r="N138" s="1">
        <v>255927</v>
      </c>
      <c r="O138" s="1" t="s">
        <v>433</v>
      </c>
      <c r="P138" s="1">
        <v>160213</v>
      </c>
      <c r="Q138" s="6" t="s">
        <v>434</v>
      </c>
      <c r="R138" s="1" t="s">
        <v>32</v>
      </c>
      <c r="S138" s="7" t="str">
        <f>IF(J138="Não aplicável","N.A.",VLOOKUP(J138,'[1]Lista ONU'!$A$2:$D$2271,3))</f>
        <v>N.A.</v>
      </c>
      <c r="T138" s="7" t="str">
        <f>IF(J138="Não aplicável","N.A.",VLOOKUP(J138,'[1]Lista ONU'!$A$2:$D$2271,4))</f>
        <v>N.A.</v>
      </c>
    </row>
    <row r="139" spans="1:20" x14ac:dyDescent="0.25">
      <c r="A139" s="4" t="s">
        <v>128</v>
      </c>
      <c r="B139" s="1" t="s">
        <v>435</v>
      </c>
      <c r="C139" s="1" t="s">
        <v>22</v>
      </c>
      <c r="D139" s="1" t="s">
        <v>106</v>
      </c>
      <c r="E139" s="5" t="s">
        <v>228</v>
      </c>
      <c r="F139" s="5" t="s">
        <v>106</v>
      </c>
      <c r="G139" s="1" t="s">
        <v>229</v>
      </c>
      <c r="H139" s="1" t="s">
        <v>106</v>
      </c>
      <c r="I139" s="1" t="s">
        <v>106</v>
      </c>
      <c r="J139" s="1" t="s">
        <v>106</v>
      </c>
      <c r="K139" s="5" t="s">
        <v>28</v>
      </c>
      <c r="L139" s="1" t="s">
        <v>132</v>
      </c>
      <c r="M139" s="1" t="s">
        <v>110</v>
      </c>
      <c r="N139" s="1">
        <v>801897</v>
      </c>
      <c r="O139" s="1" t="s">
        <v>134</v>
      </c>
      <c r="P139" s="1">
        <v>150202</v>
      </c>
      <c r="Q139" s="6" t="s">
        <v>135</v>
      </c>
      <c r="R139" s="1" t="s">
        <v>32</v>
      </c>
      <c r="S139" s="7" t="str">
        <f>IF(J139="Não aplicável","N.A.",VLOOKUP(J139,'[1]Lista ONU'!$A$2:$D$2271,3))</f>
        <v>N.A.</v>
      </c>
      <c r="T139" s="7" t="str">
        <f>IF(J139="Não aplicável","N.A.",VLOOKUP(J139,'[1]Lista ONU'!$A$2:$D$2271,4))</f>
        <v>N.A.</v>
      </c>
    </row>
    <row r="140" spans="1:20" x14ac:dyDescent="0.25">
      <c r="A140" s="4" t="s">
        <v>128</v>
      </c>
      <c r="B140" s="1" t="s">
        <v>436</v>
      </c>
      <c r="C140" s="1" t="s">
        <v>22</v>
      </c>
      <c r="D140" s="1" t="s">
        <v>106</v>
      </c>
      <c r="E140" s="5" t="s">
        <v>228</v>
      </c>
      <c r="F140" s="5" t="s">
        <v>106</v>
      </c>
      <c r="G140" s="1" t="s">
        <v>437</v>
      </c>
      <c r="H140" s="1" t="s">
        <v>106</v>
      </c>
      <c r="I140" s="1" t="s">
        <v>106</v>
      </c>
      <c r="J140" s="1" t="s">
        <v>106</v>
      </c>
      <c r="K140" s="5" t="s">
        <v>28</v>
      </c>
      <c r="L140" s="1" t="s">
        <v>132</v>
      </c>
      <c r="M140" s="1" t="s">
        <v>110</v>
      </c>
      <c r="N140" s="1">
        <v>801897</v>
      </c>
      <c r="O140" s="1" t="s">
        <v>134</v>
      </c>
      <c r="P140" s="1">
        <v>150202</v>
      </c>
      <c r="Q140" s="6" t="s">
        <v>135</v>
      </c>
      <c r="R140" s="1" t="s">
        <v>32</v>
      </c>
      <c r="S140" s="7" t="str">
        <f>IF(J140="Não aplicável","N.A.",VLOOKUP(J140,'[1]Lista ONU'!$A$2:$D$2271,3))</f>
        <v>N.A.</v>
      </c>
      <c r="T140" s="7" t="str">
        <f>IF(J140="Não aplicável","N.A.",VLOOKUP(J140,'[1]Lista ONU'!$A$2:$D$2271,4))</f>
        <v>N.A.</v>
      </c>
    </row>
    <row r="141" spans="1:20" x14ac:dyDescent="0.25">
      <c r="A141" s="4" t="s">
        <v>128</v>
      </c>
      <c r="B141" s="1" t="s">
        <v>438</v>
      </c>
      <c r="C141" s="1" t="s">
        <v>22</v>
      </c>
      <c r="D141" s="1" t="s">
        <v>439</v>
      </c>
      <c r="E141" s="5" t="s">
        <v>24</v>
      </c>
      <c r="F141" s="5" t="s">
        <v>106</v>
      </c>
      <c r="G141" s="1" t="s">
        <v>131</v>
      </c>
      <c r="H141" s="5" t="s">
        <v>62</v>
      </c>
      <c r="I141" s="5">
        <v>90</v>
      </c>
      <c r="J141" s="5">
        <v>3077</v>
      </c>
      <c r="K141" s="5" t="s">
        <v>28</v>
      </c>
      <c r="L141" s="1" t="s">
        <v>132</v>
      </c>
      <c r="M141" s="1" t="s">
        <v>133</v>
      </c>
      <c r="N141" s="1">
        <v>801897</v>
      </c>
      <c r="O141" s="1" t="s">
        <v>134</v>
      </c>
      <c r="P141" s="1">
        <v>150202</v>
      </c>
      <c r="Q141" s="6" t="s">
        <v>135</v>
      </c>
      <c r="R141" s="1" t="s">
        <v>32</v>
      </c>
      <c r="S141" s="7">
        <f>IF(J141="Não aplicável","N.A.",VLOOKUP(J141,'[1]Lista ONU'!$A$2:$D$2271,3))</f>
        <v>1000</v>
      </c>
      <c r="T141" s="7" t="str">
        <f>IF(J141="Não aplicável","N.A.",VLOOKUP(J141,'[1]Lista ONU'!$A$2:$D$2271,4))</f>
        <v>5 kg</v>
      </c>
    </row>
    <row r="142" spans="1:20" x14ac:dyDescent="0.25">
      <c r="A142" s="4" t="s">
        <v>128</v>
      </c>
      <c r="B142" s="1" t="s">
        <v>440</v>
      </c>
      <c r="C142" s="1" t="s">
        <v>22</v>
      </c>
      <c r="D142" s="1" t="s">
        <v>439</v>
      </c>
      <c r="E142" s="5" t="s">
        <v>24</v>
      </c>
      <c r="F142" s="5" t="s">
        <v>106</v>
      </c>
      <c r="G142" s="1" t="s">
        <v>131</v>
      </c>
      <c r="H142" s="5" t="s">
        <v>62</v>
      </c>
      <c r="I142" s="5">
        <v>90</v>
      </c>
      <c r="J142" s="5">
        <v>3077</v>
      </c>
      <c r="K142" s="5" t="s">
        <v>28</v>
      </c>
      <c r="L142" s="1" t="s">
        <v>132</v>
      </c>
      <c r="M142" s="1" t="s">
        <v>133</v>
      </c>
      <c r="N142" s="1">
        <v>801897</v>
      </c>
      <c r="O142" s="1" t="s">
        <v>134</v>
      </c>
      <c r="P142" s="1">
        <v>150202</v>
      </c>
      <c r="Q142" s="6" t="s">
        <v>135</v>
      </c>
      <c r="R142" s="1" t="s">
        <v>32</v>
      </c>
      <c r="S142" s="7">
        <f>IF(J142="Não aplicável","N.A.",VLOOKUP(J142,'[1]Lista ONU'!$A$2:$D$2271,3))</f>
        <v>1000</v>
      </c>
      <c r="T142" s="7" t="str">
        <f>IF(J142="Não aplicável","N.A.",VLOOKUP(J142,'[1]Lista ONU'!$A$2:$D$2271,4))</f>
        <v>5 kg</v>
      </c>
    </row>
    <row r="143" spans="1:20" x14ac:dyDescent="0.25">
      <c r="A143" s="4" t="s">
        <v>128</v>
      </c>
      <c r="B143" s="1" t="s">
        <v>441</v>
      </c>
      <c r="C143" s="1" t="s">
        <v>22</v>
      </c>
      <c r="D143" s="1" t="s">
        <v>106</v>
      </c>
      <c r="E143" s="5" t="s">
        <v>228</v>
      </c>
      <c r="F143" s="5" t="s">
        <v>106</v>
      </c>
      <c r="G143" s="1" t="s">
        <v>229</v>
      </c>
      <c r="H143" s="1" t="s">
        <v>106</v>
      </c>
      <c r="I143" s="1" t="s">
        <v>106</v>
      </c>
      <c r="J143" s="1" t="s">
        <v>106</v>
      </c>
      <c r="K143" s="5" t="s">
        <v>28</v>
      </c>
      <c r="L143" s="1" t="s">
        <v>132</v>
      </c>
      <c r="M143" s="1" t="s">
        <v>110</v>
      </c>
      <c r="N143" s="1">
        <v>801897</v>
      </c>
      <c r="O143" s="1" t="s">
        <v>134</v>
      </c>
      <c r="P143" s="1">
        <v>150202</v>
      </c>
      <c r="Q143" s="6" t="s">
        <v>135</v>
      </c>
      <c r="R143" s="1" t="s">
        <v>32</v>
      </c>
      <c r="S143" s="7" t="str">
        <f>IF(J143="Não aplicável","N.A.",VLOOKUP(J143,'[1]Lista ONU'!$A$2:$D$2271,3))</f>
        <v>N.A.</v>
      </c>
      <c r="T143" s="7" t="str">
        <f>IF(J143="Não aplicável","N.A.",VLOOKUP(J143,'[1]Lista ONU'!$A$2:$D$2271,4))</f>
        <v>N.A.</v>
      </c>
    </row>
    <row r="144" spans="1:20" x14ac:dyDescent="0.25">
      <c r="A144" s="4" t="s">
        <v>114</v>
      </c>
      <c r="B144" s="1" t="s">
        <v>442</v>
      </c>
      <c r="C144" s="1" t="s">
        <v>22</v>
      </c>
      <c r="D144" s="1" t="s">
        <v>106</v>
      </c>
      <c r="E144" s="5" t="s">
        <v>107</v>
      </c>
      <c r="F144" s="5" t="s">
        <v>25</v>
      </c>
      <c r="G144" s="1" t="s">
        <v>167</v>
      </c>
      <c r="H144" s="1" t="s">
        <v>106</v>
      </c>
      <c r="I144" s="1" t="s">
        <v>106</v>
      </c>
      <c r="J144" s="1" t="s">
        <v>106</v>
      </c>
      <c r="K144" s="5" t="s">
        <v>28</v>
      </c>
      <c r="L144" s="5" t="s">
        <v>443</v>
      </c>
      <c r="M144" s="5" t="s">
        <v>110</v>
      </c>
      <c r="N144" s="5">
        <v>1776</v>
      </c>
      <c r="O144" s="5" t="s">
        <v>444</v>
      </c>
      <c r="P144" s="1">
        <v>170405</v>
      </c>
      <c r="Q144" s="6" t="s">
        <v>349</v>
      </c>
      <c r="R144" s="1" t="s">
        <v>32</v>
      </c>
      <c r="S144" s="7" t="str">
        <f>IF(J144="Não aplicável","N.A.",VLOOKUP(J144,'[1]Lista ONU'!$A$2:$D$2271,3))</f>
        <v>N.A.</v>
      </c>
      <c r="T144" s="7" t="str">
        <f>IF(J144="Não aplicável","N.A.",VLOOKUP(J144,'[1]Lista ONU'!$A$2:$D$2271,4))</f>
        <v>N.A.</v>
      </c>
    </row>
    <row r="145" spans="1:20" x14ac:dyDescent="0.25">
      <c r="A145" s="4" t="s">
        <v>230</v>
      </c>
      <c r="B145" s="1" t="s">
        <v>445</v>
      </c>
      <c r="C145" s="1" t="s">
        <v>22</v>
      </c>
      <c r="D145" s="1" t="s">
        <v>106</v>
      </c>
      <c r="E145" s="5" t="s">
        <v>107</v>
      </c>
      <c r="F145" s="5" t="s">
        <v>106</v>
      </c>
      <c r="G145" s="1" t="s">
        <v>232</v>
      </c>
      <c r="H145" s="1" t="s">
        <v>106</v>
      </c>
      <c r="I145" s="1" t="s">
        <v>106</v>
      </c>
      <c r="J145" s="1" t="s">
        <v>106</v>
      </c>
      <c r="K145" s="5" t="s">
        <v>28</v>
      </c>
      <c r="L145" s="1" t="s">
        <v>132</v>
      </c>
      <c r="M145" s="1" t="s">
        <v>110</v>
      </c>
      <c r="N145" s="5" t="s">
        <v>110</v>
      </c>
      <c r="O145" s="5" t="s">
        <v>110</v>
      </c>
      <c r="P145" s="1" t="s">
        <v>110</v>
      </c>
      <c r="Q145" s="6" t="s">
        <v>110</v>
      </c>
      <c r="R145" s="1" t="s">
        <v>32</v>
      </c>
      <c r="S145" s="7" t="str">
        <f>IF(J145="Não aplicável","N.A.",VLOOKUP(J145,'[1]Lista ONU'!$A$2:$D$2271,3))</f>
        <v>N.A.</v>
      </c>
      <c r="T145" s="7" t="str">
        <f>IF(J145="Não aplicável","N.A.",VLOOKUP(J145,'[1]Lista ONU'!$A$2:$D$2271,4))</f>
        <v>N.A.</v>
      </c>
    </row>
    <row r="146" spans="1:20" x14ac:dyDescent="0.25">
      <c r="A146" s="4" t="s">
        <v>56</v>
      </c>
      <c r="B146" s="1" t="s">
        <v>446</v>
      </c>
      <c r="C146" s="1" t="s">
        <v>22</v>
      </c>
      <c r="D146" s="1" t="s">
        <v>59</v>
      </c>
      <c r="E146" s="5" t="s">
        <v>24</v>
      </c>
      <c r="F146" s="5" t="s">
        <v>60</v>
      </c>
      <c r="G146" s="1" t="s">
        <v>73</v>
      </c>
      <c r="H146" s="5" t="s">
        <v>62</v>
      </c>
      <c r="I146" s="1">
        <v>90</v>
      </c>
      <c r="J146" s="5">
        <v>3077</v>
      </c>
      <c r="K146" s="5" t="s">
        <v>28</v>
      </c>
      <c r="L146" s="1" t="s">
        <v>132</v>
      </c>
      <c r="M146" s="1" t="s">
        <v>133</v>
      </c>
      <c r="N146" s="1">
        <v>801894</v>
      </c>
      <c r="O146" s="1" t="s">
        <v>213</v>
      </c>
      <c r="P146" s="3">
        <v>130899</v>
      </c>
      <c r="Q146" s="6" t="s">
        <v>356</v>
      </c>
      <c r="R146" s="1" t="s">
        <v>32</v>
      </c>
      <c r="S146" s="7">
        <f>IF(J146="Não aplicável","N.A.",VLOOKUP(J146,'[1]Lista ONU'!$A$2:$D$2271,3))</f>
        <v>1000</v>
      </c>
      <c r="T146" s="7" t="str">
        <f>IF(J146="Não aplicável","N.A.",VLOOKUP(J146,'[1]Lista ONU'!$A$2:$D$2271,4))</f>
        <v>5 kg</v>
      </c>
    </row>
    <row r="147" spans="1:20" x14ac:dyDescent="0.25">
      <c r="A147" s="4" t="s">
        <v>230</v>
      </c>
      <c r="B147" s="1" t="s">
        <v>447</v>
      </c>
      <c r="C147" s="1" t="s">
        <v>22</v>
      </c>
      <c r="D147" s="1" t="s">
        <v>448</v>
      </c>
      <c r="E147" s="5" t="s">
        <v>107</v>
      </c>
      <c r="F147" s="5" t="s">
        <v>25</v>
      </c>
      <c r="G147" s="1" t="s">
        <v>241</v>
      </c>
      <c r="H147" s="1" t="s">
        <v>106</v>
      </c>
      <c r="I147" s="1" t="s">
        <v>106</v>
      </c>
      <c r="J147" s="1" t="s">
        <v>106</v>
      </c>
      <c r="K147" s="5" t="s">
        <v>28</v>
      </c>
      <c r="L147" s="1" t="s">
        <v>443</v>
      </c>
      <c r="M147" s="1" t="s">
        <v>110</v>
      </c>
      <c r="N147" s="5" t="s">
        <v>110</v>
      </c>
      <c r="O147" s="5" t="s">
        <v>110</v>
      </c>
      <c r="P147" s="1" t="s">
        <v>110</v>
      </c>
      <c r="Q147" s="6" t="s">
        <v>110</v>
      </c>
      <c r="R147" s="1" t="s">
        <v>32</v>
      </c>
      <c r="S147" s="7" t="str">
        <f>IF(J147="Não aplicável","N.A.",VLOOKUP(J147,'[1]Lista ONU'!$A$2:$D$2271,3))</f>
        <v>N.A.</v>
      </c>
      <c r="T147" s="7" t="str">
        <f>IF(J147="Não aplicável","N.A.",VLOOKUP(J147,'[1]Lista ONU'!$A$2:$D$2271,4))</f>
        <v>N.A.</v>
      </c>
    </row>
    <row r="148" spans="1:20" x14ac:dyDescent="0.25">
      <c r="A148" s="4" t="s">
        <v>247</v>
      </c>
      <c r="B148" s="1" t="s">
        <v>449</v>
      </c>
      <c r="C148" s="1" t="s">
        <v>22</v>
      </c>
      <c r="D148" s="1" t="s">
        <v>106</v>
      </c>
      <c r="E148" s="5" t="s">
        <v>24</v>
      </c>
      <c r="F148" s="5" t="s">
        <v>269</v>
      </c>
      <c r="G148" s="1" t="s">
        <v>207</v>
      </c>
      <c r="H148" s="1" t="s">
        <v>106</v>
      </c>
      <c r="I148" s="1" t="s">
        <v>106</v>
      </c>
      <c r="J148" s="1" t="s">
        <v>106</v>
      </c>
      <c r="K148" s="5" t="s">
        <v>28</v>
      </c>
      <c r="L148" s="1" t="s">
        <v>100</v>
      </c>
      <c r="M148" s="1" t="s">
        <v>133</v>
      </c>
      <c r="N148" s="1">
        <v>118984</v>
      </c>
      <c r="O148" s="1" t="s">
        <v>450</v>
      </c>
      <c r="P148" s="1">
        <v>160214</v>
      </c>
      <c r="Q148" s="6" t="s">
        <v>251</v>
      </c>
      <c r="R148" s="1" t="s">
        <v>32</v>
      </c>
      <c r="S148" s="7" t="str">
        <f>IF(J148="Não aplicável","N.A.",VLOOKUP(J148,'[1]Lista ONU'!$A$2:$D$2271,3))</f>
        <v>N.A.</v>
      </c>
      <c r="T148" s="7" t="str">
        <f>IF(J148="Não aplicável","N.A.",VLOOKUP(J148,'[1]Lista ONU'!$A$2:$D$2271,4))</f>
        <v>N.A.</v>
      </c>
    </row>
    <row r="149" spans="1:20" x14ac:dyDescent="0.25">
      <c r="A149" s="4" t="s">
        <v>247</v>
      </c>
      <c r="B149" s="1" t="s">
        <v>451</v>
      </c>
      <c r="C149" s="1" t="s">
        <v>22</v>
      </c>
      <c r="D149" s="1" t="s">
        <v>106</v>
      </c>
      <c r="E149" s="5" t="s">
        <v>24</v>
      </c>
      <c r="F149" s="5" t="s">
        <v>269</v>
      </c>
      <c r="G149" s="1" t="s">
        <v>207</v>
      </c>
      <c r="H149" s="1" t="s">
        <v>106</v>
      </c>
      <c r="I149" s="1" t="s">
        <v>106</v>
      </c>
      <c r="J149" s="1" t="s">
        <v>106</v>
      </c>
      <c r="K149" s="5" t="s">
        <v>28</v>
      </c>
      <c r="L149" s="1" t="s">
        <v>270</v>
      </c>
      <c r="M149" s="1" t="s">
        <v>133</v>
      </c>
      <c r="N149" s="1">
        <v>118984</v>
      </c>
      <c r="O149" s="1" t="s">
        <v>450</v>
      </c>
      <c r="P149" s="1">
        <v>160214</v>
      </c>
      <c r="Q149" s="6" t="s">
        <v>251</v>
      </c>
      <c r="R149" s="1" t="s">
        <v>32</v>
      </c>
      <c r="S149" s="7" t="str">
        <f>IF(J149="Não aplicável","N.A.",VLOOKUP(J149,'[1]Lista ONU'!$A$2:$D$2271,3))</f>
        <v>N.A.</v>
      </c>
      <c r="T149" s="7" t="str">
        <f>IF(J149="Não aplicável","N.A.",VLOOKUP(J149,'[1]Lista ONU'!$A$2:$D$2271,4))</f>
        <v>N.A.</v>
      </c>
    </row>
    <row r="150" spans="1:20" x14ac:dyDescent="0.25">
      <c r="A150" s="4" t="s">
        <v>114</v>
      </c>
      <c r="B150" s="1" t="s">
        <v>452</v>
      </c>
      <c r="C150" s="1" t="s">
        <v>22</v>
      </c>
      <c r="D150" s="1" t="s">
        <v>106</v>
      </c>
      <c r="E150" s="5" t="s">
        <v>228</v>
      </c>
      <c r="F150" s="5" t="s">
        <v>25</v>
      </c>
      <c r="G150" s="1" t="s">
        <v>266</v>
      </c>
      <c r="H150" s="1" t="s">
        <v>106</v>
      </c>
      <c r="I150" s="1" t="s">
        <v>106</v>
      </c>
      <c r="J150" s="1" t="s">
        <v>106</v>
      </c>
      <c r="K150" s="5" t="s">
        <v>28</v>
      </c>
      <c r="L150" s="1" t="s">
        <v>109</v>
      </c>
      <c r="M150" s="1" t="s">
        <v>110</v>
      </c>
      <c r="N150" s="5" t="s">
        <v>110</v>
      </c>
      <c r="O150" s="1" t="s">
        <v>110</v>
      </c>
      <c r="P150" s="1">
        <v>160214</v>
      </c>
      <c r="Q150" s="6" t="s">
        <v>251</v>
      </c>
      <c r="R150" s="1" t="s">
        <v>32</v>
      </c>
      <c r="S150" s="7" t="str">
        <f>IF(J150="Não aplicável","N.A.",VLOOKUP(J150,'[1]Lista ONU'!$A$2:$D$2271,3))</f>
        <v>N.A.</v>
      </c>
      <c r="T150" s="7" t="str">
        <f>IF(J150="Não aplicável","N.A.",VLOOKUP(J150,'[1]Lista ONU'!$A$2:$D$2271,4))</f>
        <v>N.A.</v>
      </c>
    </row>
    <row r="151" spans="1:20" x14ac:dyDescent="0.25">
      <c r="A151" s="4" t="s">
        <v>93</v>
      </c>
      <c r="B151" s="1" t="s">
        <v>453</v>
      </c>
      <c r="C151" s="1" t="s">
        <v>22</v>
      </c>
      <c r="D151" s="1" t="s">
        <v>96</v>
      </c>
      <c r="E151" s="5" t="s">
        <v>24</v>
      </c>
      <c r="F151" s="5" t="s">
        <v>388</v>
      </c>
      <c r="G151" s="1" t="s">
        <v>355</v>
      </c>
      <c r="H151" s="1" t="s">
        <v>99</v>
      </c>
      <c r="I151" s="1">
        <v>60</v>
      </c>
      <c r="J151" s="1">
        <v>3506</v>
      </c>
      <c r="K151" s="5" t="s">
        <v>28</v>
      </c>
      <c r="L151" s="5" t="s">
        <v>100</v>
      </c>
      <c r="M151" s="1" t="s">
        <v>454</v>
      </c>
      <c r="N151" s="5">
        <v>801909</v>
      </c>
      <c r="O151" s="5" t="s">
        <v>455</v>
      </c>
      <c r="P151" s="1">
        <v>170204</v>
      </c>
      <c r="Q151" s="6" t="s">
        <v>103</v>
      </c>
      <c r="R151" s="1" t="s">
        <v>32</v>
      </c>
      <c r="S151" s="7">
        <f>IF(J151="Não aplicável","N.A.",VLOOKUP(J151,'[1]Lista ONU'!$A$2:$D$2271,3))</f>
        <v>1000</v>
      </c>
      <c r="T151" s="7" t="str">
        <f>IF(J151="Não aplicável","N.A.",VLOOKUP(J151,'[1]Lista ONU'!$A$2:$D$2271,4))</f>
        <v>5 kg</v>
      </c>
    </row>
    <row r="152" spans="1:20" x14ac:dyDescent="0.25">
      <c r="A152" s="4" t="s">
        <v>247</v>
      </c>
      <c r="B152" s="1" t="s">
        <v>456</v>
      </c>
      <c r="C152" s="1" t="s">
        <v>95</v>
      </c>
      <c r="D152" s="1" t="s">
        <v>106</v>
      </c>
      <c r="E152" s="5" t="s">
        <v>24</v>
      </c>
      <c r="F152" s="5" t="s">
        <v>25</v>
      </c>
      <c r="G152" s="1" t="s">
        <v>167</v>
      </c>
      <c r="H152" s="5" t="s">
        <v>62</v>
      </c>
      <c r="I152" s="1">
        <v>90</v>
      </c>
      <c r="J152" s="1">
        <v>3077</v>
      </c>
      <c r="K152" s="5" t="s">
        <v>28</v>
      </c>
      <c r="L152" s="1" t="s">
        <v>457</v>
      </c>
      <c r="M152" s="1" t="s">
        <v>133</v>
      </c>
      <c r="N152" s="1" t="s">
        <v>458</v>
      </c>
      <c r="O152" s="1" t="s">
        <v>459</v>
      </c>
      <c r="P152" s="1" t="s">
        <v>110</v>
      </c>
      <c r="Q152" s="6" t="s">
        <v>110</v>
      </c>
      <c r="R152" s="1" t="s">
        <v>32</v>
      </c>
      <c r="S152" s="7">
        <f>IF(J152="Não aplicável","N.A.",VLOOKUP(J152,'[1]Lista ONU'!$A$2:$D$2271,3))</f>
        <v>1000</v>
      </c>
      <c r="T152" s="7" t="str">
        <f>IF(J152="Não aplicável","N.A.",VLOOKUP(J152,'[1]Lista ONU'!$A$2:$D$2271,4))</f>
        <v>5 kg</v>
      </c>
    </row>
    <row r="153" spans="1:20" x14ac:dyDescent="0.25">
      <c r="A153" s="4" t="s">
        <v>104</v>
      </c>
      <c r="B153" s="1" t="s">
        <v>460</v>
      </c>
      <c r="C153" s="1" t="s">
        <v>95</v>
      </c>
      <c r="D153" s="1" t="s">
        <v>106</v>
      </c>
      <c r="E153" s="5" t="s">
        <v>107</v>
      </c>
      <c r="F153" s="5" t="s">
        <v>87</v>
      </c>
      <c r="G153" s="1" t="s">
        <v>106</v>
      </c>
      <c r="H153" s="1" t="s">
        <v>106</v>
      </c>
      <c r="I153" s="1" t="s">
        <v>106</v>
      </c>
      <c r="J153" s="1" t="s">
        <v>106</v>
      </c>
      <c r="K153" s="5" t="s">
        <v>28</v>
      </c>
      <c r="L153" s="1" t="s">
        <v>461</v>
      </c>
      <c r="M153" s="1" t="s">
        <v>110</v>
      </c>
      <c r="N153" s="1">
        <v>89268</v>
      </c>
      <c r="O153" s="1" t="s">
        <v>462</v>
      </c>
      <c r="P153" s="1">
        <v>170201</v>
      </c>
      <c r="Q153" s="6" t="s">
        <v>112</v>
      </c>
      <c r="R153" s="1" t="s">
        <v>32</v>
      </c>
      <c r="S153" s="7" t="str">
        <f>IF(J153="Não aplicável","N.A.",VLOOKUP(J153,'[1]Lista ONU'!$A$2:$D$2271,3))</f>
        <v>N.A.</v>
      </c>
      <c r="T153" s="7" t="str">
        <f>IF(J153="Não aplicável","N.A.",VLOOKUP(J153,'[1]Lista ONU'!$A$2:$D$2271,4))</f>
        <v>N.A.</v>
      </c>
    </row>
    <row r="154" spans="1:20" x14ac:dyDescent="0.25">
      <c r="A154" s="4" t="s">
        <v>20</v>
      </c>
      <c r="B154" s="1" t="s">
        <v>463</v>
      </c>
      <c r="C154" s="1" t="s">
        <v>22</v>
      </c>
      <c r="D154" s="1" t="s">
        <v>464</v>
      </c>
      <c r="E154" s="5" t="s">
        <v>24</v>
      </c>
      <c r="F154" s="5" t="s">
        <v>465</v>
      </c>
      <c r="G154" s="1" t="s">
        <v>26</v>
      </c>
      <c r="H154" s="1" t="s">
        <v>466</v>
      </c>
      <c r="I154" s="1">
        <v>50</v>
      </c>
      <c r="J154" s="5">
        <v>1493</v>
      </c>
      <c r="K154" s="5" t="s">
        <v>28</v>
      </c>
      <c r="L154" s="1" t="s">
        <v>43</v>
      </c>
      <c r="M154" s="1" t="s">
        <v>463</v>
      </c>
      <c r="N154" s="1">
        <v>915320</v>
      </c>
      <c r="O154" s="1" t="s">
        <v>467</v>
      </c>
      <c r="P154" s="1" t="s">
        <v>110</v>
      </c>
      <c r="Q154" s="6" t="s">
        <v>110</v>
      </c>
      <c r="R154" s="1" t="s">
        <v>32</v>
      </c>
      <c r="S154" s="7">
        <f>IF(J154="Não aplicável","N.A.",VLOOKUP(J154,'[1]Lista ONU'!$A$2:$D$2271,3))</f>
        <v>333</v>
      </c>
      <c r="T154" s="7" t="str">
        <f>IF(J154="Não aplicável","N.A.",VLOOKUP(J154,'[1]Lista ONU'!$A$2:$D$2271,4))</f>
        <v>1 kg</v>
      </c>
    </row>
    <row r="155" spans="1:20" x14ac:dyDescent="0.25">
      <c r="A155" s="4" t="s">
        <v>128</v>
      </c>
      <c r="B155" s="1" t="s">
        <v>468</v>
      </c>
      <c r="C155" s="1" t="s">
        <v>22</v>
      </c>
      <c r="D155" s="1" t="s">
        <v>106</v>
      </c>
      <c r="E155" s="5" t="s">
        <v>228</v>
      </c>
      <c r="F155" s="5" t="s">
        <v>106</v>
      </c>
      <c r="G155" s="1" t="s">
        <v>229</v>
      </c>
      <c r="H155" s="1" t="s">
        <v>106</v>
      </c>
      <c r="I155" s="1" t="s">
        <v>106</v>
      </c>
      <c r="J155" s="1" t="s">
        <v>106</v>
      </c>
      <c r="K155" s="5" t="s">
        <v>28</v>
      </c>
      <c r="L155" s="1" t="s">
        <v>132</v>
      </c>
      <c r="M155" s="1" t="s">
        <v>110</v>
      </c>
      <c r="N155" s="1">
        <v>801897</v>
      </c>
      <c r="O155" s="1" t="s">
        <v>134</v>
      </c>
      <c r="P155" s="1">
        <v>150202</v>
      </c>
      <c r="Q155" s="6" t="s">
        <v>135</v>
      </c>
      <c r="R155" s="1" t="s">
        <v>32</v>
      </c>
      <c r="S155" s="7" t="str">
        <f>IF(J155="Não aplicável","N.A.",VLOOKUP(J155,'[1]Lista ONU'!$A$2:$D$2271,3))</f>
        <v>N.A.</v>
      </c>
      <c r="T155" s="7" t="str">
        <f>IF(J155="Não aplicável","N.A.",VLOOKUP(J155,'[1]Lista ONU'!$A$2:$D$2271,4))</f>
        <v>N.A.</v>
      </c>
    </row>
    <row r="156" spans="1:20" x14ac:dyDescent="0.25">
      <c r="A156" s="4" t="s">
        <v>56</v>
      </c>
      <c r="B156" s="1" t="s">
        <v>469</v>
      </c>
      <c r="C156" s="1" t="s">
        <v>22</v>
      </c>
      <c r="D156" s="1" t="s">
        <v>470</v>
      </c>
      <c r="E156" s="5" t="s">
        <v>24</v>
      </c>
      <c r="F156" s="5" t="s">
        <v>25</v>
      </c>
      <c r="G156" s="1" t="s">
        <v>73</v>
      </c>
      <c r="H156" s="5" t="s">
        <v>62</v>
      </c>
      <c r="I156" s="1">
        <v>90</v>
      </c>
      <c r="J156" s="1">
        <v>3082</v>
      </c>
      <c r="K156" s="5" t="s">
        <v>28</v>
      </c>
      <c r="L156" s="1" t="s">
        <v>272</v>
      </c>
      <c r="M156" s="1" t="s">
        <v>64</v>
      </c>
      <c r="N156" s="1">
        <v>801908</v>
      </c>
      <c r="O156" s="1" t="s">
        <v>66</v>
      </c>
      <c r="P156" s="1">
        <v>130802</v>
      </c>
      <c r="Q156" s="6" t="s">
        <v>69</v>
      </c>
      <c r="R156" s="1" t="s">
        <v>32</v>
      </c>
      <c r="S156" s="7">
        <f>IF(J156="Não aplicável","N.A.",VLOOKUP(J156,'[1]Lista ONU'!$A$2:$D$2271,3))</f>
        <v>1000</v>
      </c>
      <c r="T156" s="7" t="str">
        <f>IF(J156="Não aplicável","N.A.",VLOOKUP(J156,'[1]Lista ONU'!$A$2:$D$2271,4))</f>
        <v>5 L</v>
      </c>
    </row>
    <row r="157" spans="1:20" x14ac:dyDescent="0.25">
      <c r="A157" s="4" t="s">
        <v>56</v>
      </c>
      <c r="B157" s="1" t="s">
        <v>471</v>
      </c>
      <c r="C157" s="1" t="s">
        <v>58</v>
      </c>
      <c r="D157" s="1" t="s">
        <v>59</v>
      </c>
      <c r="E157" s="5" t="s">
        <v>24</v>
      </c>
      <c r="F157" s="5" t="s">
        <v>54</v>
      </c>
      <c r="G157" s="1" t="s">
        <v>73</v>
      </c>
      <c r="H157" s="5" t="s">
        <v>62</v>
      </c>
      <c r="I157" s="1">
        <v>90</v>
      </c>
      <c r="J157" s="5">
        <v>3082</v>
      </c>
      <c r="K157" s="5" t="s">
        <v>28</v>
      </c>
      <c r="L157" s="1" t="s">
        <v>472</v>
      </c>
      <c r="M157" s="1" t="s">
        <v>64</v>
      </c>
      <c r="N157" s="1">
        <v>801908</v>
      </c>
      <c r="O157" s="1" t="s">
        <v>66</v>
      </c>
      <c r="P157" s="1">
        <v>130307</v>
      </c>
      <c r="Q157" s="6" t="s">
        <v>473</v>
      </c>
      <c r="R157" s="1" t="s">
        <v>32</v>
      </c>
      <c r="S157" s="7">
        <f>IF(J157="Não aplicável","N.A.",VLOOKUP(J157,'[1]Lista ONU'!$A$2:$D$2271,3))</f>
        <v>1000</v>
      </c>
      <c r="T157" s="7" t="str">
        <f>IF(J157="Não aplicável","N.A.",VLOOKUP(J157,'[1]Lista ONU'!$A$2:$D$2271,4))</f>
        <v>5 L</v>
      </c>
    </row>
    <row r="158" spans="1:20" x14ac:dyDescent="0.25">
      <c r="A158" s="4" t="s">
        <v>56</v>
      </c>
      <c r="B158" s="1" t="s">
        <v>474</v>
      </c>
      <c r="C158" s="1" t="s">
        <v>22</v>
      </c>
      <c r="D158" s="1" t="s">
        <v>59</v>
      </c>
      <c r="E158" s="5" t="s">
        <v>24</v>
      </c>
      <c r="F158" s="5" t="s">
        <v>54</v>
      </c>
      <c r="G158" s="1" t="s">
        <v>73</v>
      </c>
      <c r="H158" s="5" t="s">
        <v>62</v>
      </c>
      <c r="I158" s="5">
        <v>90</v>
      </c>
      <c r="J158" s="5">
        <v>2315</v>
      </c>
      <c r="K158" s="5" t="s">
        <v>28</v>
      </c>
      <c r="L158" s="1" t="s">
        <v>43</v>
      </c>
      <c r="M158" s="1" t="s">
        <v>126</v>
      </c>
      <c r="N158" s="1">
        <v>801904</v>
      </c>
      <c r="O158" s="1" t="s">
        <v>201</v>
      </c>
      <c r="P158" s="1">
        <v>130301</v>
      </c>
      <c r="Q158" s="6" t="s">
        <v>475</v>
      </c>
      <c r="R158" s="1" t="s">
        <v>32</v>
      </c>
      <c r="S158" s="7" t="str">
        <f>IF(J158="Não aplicável","N.A.",VLOOKUP(J158,'[1]Lista ONU'!$A$2:$D$2271,3))</f>
        <v>ZERO</v>
      </c>
      <c r="T158" s="7" t="str">
        <f>IF(J158="Não aplicável","N.A.",VLOOKUP(J158,'[1]Lista ONU'!$A$2:$D$2271,4))</f>
        <v>1 L</v>
      </c>
    </row>
    <row r="159" spans="1:20" x14ac:dyDescent="0.25">
      <c r="A159" s="4" t="s">
        <v>56</v>
      </c>
      <c r="B159" s="1" t="s">
        <v>476</v>
      </c>
      <c r="C159" s="1" t="s">
        <v>22</v>
      </c>
      <c r="D159" s="1" t="s">
        <v>287</v>
      </c>
      <c r="E159" s="5" t="s">
        <v>24</v>
      </c>
      <c r="F159" s="5" t="s">
        <v>25</v>
      </c>
      <c r="G159" s="1" t="s">
        <v>73</v>
      </c>
      <c r="H159" s="5" t="s">
        <v>27</v>
      </c>
      <c r="I159" s="5">
        <v>33</v>
      </c>
      <c r="J159" s="5">
        <v>1203</v>
      </c>
      <c r="K159" s="5" t="s">
        <v>28</v>
      </c>
      <c r="L159" s="1" t="s">
        <v>272</v>
      </c>
      <c r="M159" s="1" t="s">
        <v>476</v>
      </c>
      <c r="N159" s="1">
        <v>801908</v>
      </c>
      <c r="O159" s="1" t="s">
        <v>66</v>
      </c>
      <c r="P159" s="1">
        <v>130802</v>
      </c>
      <c r="Q159" s="6" t="s">
        <v>69</v>
      </c>
      <c r="R159" s="1" t="s">
        <v>32</v>
      </c>
      <c r="S159" s="7">
        <f>IF(J159="Não aplicável","N.A.",VLOOKUP(J159,'[1]Lista ONU'!$A$2:$D$2271,3))</f>
        <v>333</v>
      </c>
      <c r="T159" s="7" t="str">
        <f>IF(J159="Não aplicável","N.A.",VLOOKUP(J159,'[1]Lista ONU'!$A$2:$D$2271,4))</f>
        <v>1 L</v>
      </c>
    </row>
    <row r="160" spans="1:20" x14ac:dyDescent="0.25">
      <c r="A160" s="4" t="s">
        <v>56</v>
      </c>
      <c r="B160" s="1" t="s">
        <v>477</v>
      </c>
      <c r="C160" s="1" t="s">
        <v>58</v>
      </c>
      <c r="D160" s="1" t="s">
        <v>59</v>
      </c>
      <c r="E160" s="5" t="s">
        <v>24</v>
      </c>
      <c r="F160" s="5" t="s">
        <v>54</v>
      </c>
      <c r="G160" s="1" t="s">
        <v>73</v>
      </c>
      <c r="H160" s="5" t="s">
        <v>62</v>
      </c>
      <c r="I160" s="1">
        <v>90</v>
      </c>
      <c r="J160" s="5">
        <v>3082</v>
      </c>
      <c r="K160" s="5" t="s">
        <v>28</v>
      </c>
      <c r="L160" s="1" t="s">
        <v>472</v>
      </c>
      <c r="M160" s="1" t="s">
        <v>64</v>
      </c>
      <c r="N160" s="1">
        <v>801929</v>
      </c>
      <c r="O160" s="1" t="s">
        <v>478</v>
      </c>
      <c r="P160" s="1">
        <v>130201</v>
      </c>
      <c r="Q160" s="6" t="s">
        <v>479</v>
      </c>
      <c r="R160" s="1" t="s">
        <v>32</v>
      </c>
      <c r="S160" s="7">
        <f>IF(J160="Não aplicável","N.A.",VLOOKUP(J160,'[1]Lista ONU'!$A$2:$D$2271,3))</f>
        <v>1000</v>
      </c>
      <c r="T160" s="7" t="str">
        <f>IF(J160="Não aplicável","N.A.",VLOOKUP(J160,'[1]Lista ONU'!$A$2:$D$2271,4))</f>
        <v>5 L</v>
      </c>
    </row>
    <row r="161" spans="1:20" x14ac:dyDescent="0.25">
      <c r="A161" s="4" t="s">
        <v>56</v>
      </c>
      <c r="B161" s="1" t="s">
        <v>480</v>
      </c>
      <c r="C161" s="1" t="s">
        <v>58</v>
      </c>
      <c r="D161" s="1" t="s">
        <v>59</v>
      </c>
      <c r="E161" s="5" t="s">
        <v>24</v>
      </c>
      <c r="F161" s="5" t="s">
        <v>54</v>
      </c>
      <c r="G161" s="1" t="s">
        <v>73</v>
      </c>
      <c r="H161" s="5" t="s">
        <v>62</v>
      </c>
      <c r="I161" s="5">
        <v>90</v>
      </c>
      <c r="J161" s="5">
        <v>3082</v>
      </c>
      <c r="K161" s="5" t="s">
        <v>28</v>
      </c>
      <c r="L161" s="1" t="s">
        <v>481</v>
      </c>
      <c r="M161" s="1" t="s">
        <v>64</v>
      </c>
      <c r="N161" s="1">
        <v>801929</v>
      </c>
      <c r="O161" s="1" t="s">
        <v>478</v>
      </c>
      <c r="P161" s="1">
        <v>130201</v>
      </c>
      <c r="Q161" s="6" t="s">
        <v>479</v>
      </c>
      <c r="R161" s="1" t="s">
        <v>32</v>
      </c>
      <c r="S161" s="7">
        <f>IF(J161="Não aplicável","N.A.",VLOOKUP(J161,'[1]Lista ONU'!$A$2:$D$2271,3))</f>
        <v>1000</v>
      </c>
      <c r="T161" s="7" t="str">
        <f>IF(J161="Não aplicável","N.A.",VLOOKUP(J161,'[1]Lista ONU'!$A$2:$D$2271,4))</f>
        <v>5 L</v>
      </c>
    </row>
    <row r="162" spans="1:20" x14ac:dyDescent="0.25">
      <c r="A162" s="4" t="s">
        <v>56</v>
      </c>
      <c r="B162" s="1" t="s">
        <v>482</v>
      </c>
      <c r="C162" s="1" t="s">
        <v>58</v>
      </c>
      <c r="D162" s="1" t="s">
        <v>59</v>
      </c>
      <c r="E162" s="5" t="s">
        <v>24</v>
      </c>
      <c r="F162" s="5" t="s">
        <v>54</v>
      </c>
      <c r="G162" s="1" t="s">
        <v>73</v>
      </c>
      <c r="H162" s="5" t="s">
        <v>62</v>
      </c>
      <c r="I162" s="1">
        <v>90</v>
      </c>
      <c r="J162" s="5">
        <v>3082</v>
      </c>
      <c r="K162" s="5" t="s">
        <v>28</v>
      </c>
      <c r="L162" s="1" t="s">
        <v>483</v>
      </c>
      <c r="M162" s="1" t="s">
        <v>64</v>
      </c>
      <c r="N162" s="1">
        <v>3525</v>
      </c>
      <c r="O162" s="1" t="s">
        <v>484</v>
      </c>
      <c r="P162" s="1">
        <v>130307</v>
      </c>
      <c r="Q162" s="6" t="s">
        <v>485</v>
      </c>
      <c r="R162" s="1" t="s">
        <v>32</v>
      </c>
      <c r="S162" s="7">
        <f>IF(J162="Não aplicável","N.A.",VLOOKUP(J162,'[1]Lista ONU'!$A$2:$D$2271,3))</f>
        <v>1000</v>
      </c>
      <c r="T162" s="7" t="str">
        <f>IF(J162="Não aplicável","N.A.",VLOOKUP(J162,'[1]Lista ONU'!$A$2:$D$2271,4))</f>
        <v>5 L</v>
      </c>
    </row>
    <row r="163" spans="1:20" x14ac:dyDescent="0.25">
      <c r="A163" s="4" t="s">
        <v>56</v>
      </c>
      <c r="B163" s="1" t="s">
        <v>486</v>
      </c>
      <c r="C163" s="1" t="s">
        <v>58</v>
      </c>
      <c r="D163" s="1" t="s">
        <v>59</v>
      </c>
      <c r="E163" s="5" t="s">
        <v>24</v>
      </c>
      <c r="F163" s="5" t="s">
        <v>54</v>
      </c>
      <c r="G163" s="1" t="s">
        <v>73</v>
      </c>
      <c r="H163" s="5" t="s">
        <v>62</v>
      </c>
      <c r="I163" s="1">
        <v>90</v>
      </c>
      <c r="J163" s="5">
        <v>3082</v>
      </c>
      <c r="K163" s="5" t="s">
        <v>28</v>
      </c>
      <c r="L163" s="1" t="s">
        <v>472</v>
      </c>
      <c r="M163" s="1" t="s">
        <v>64</v>
      </c>
      <c r="N163" s="1">
        <v>3525</v>
      </c>
      <c r="O163" s="1" t="s">
        <v>487</v>
      </c>
      <c r="P163" s="1">
        <v>130307</v>
      </c>
      <c r="Q163" s="6" t="s">
        <v>473</v>
      </c>
      <c r="R163" s="1" t="s">
        <v>32</v>
      </c>
      <c r="S163" s="7">
        <f>IF(J163="Não aplicável","N.A.",VLOOKUP(J163,'[1]Lista ONU'!$A$2:$D$2271,3))</f>
        <v>1000</v>
      </c>
      <c r="T163" s="7" t="str">
        <f>IF(J163="Não aplicável","N.A.",VLOOKUP(J163,'[1]Lista ONU'!$A$2:$D$2271,4))</f>
        <v>5 L</v>
      </c>
    </row>
    <row r="164" spans="1:20" x14ac:dyDescent="0.25">
      <c r="A164" s="4" t="s">
        <v>56</v>
      </c>
      <c r="B164" s="1" t="s">
        <v>488</v>
      </c>
      <c r="C164" s="1" t="s">
        <v>58</v>
      </c>
      <c r="D164" s="1" t="s">
        <v>59</v>
      </c>
      <c r="E164" s="5" t="s">
        <v>24</v>
      </c>
      <c r="F164" s="5" t="s">
        <v>54</v>
      </c>
      <c r="G164" s="1" t="s">
        <v>73</v>
      </c>
      <c r="H164" s="5" t="s">
        <v>62</v>
      </c>
      <c r="I164" s="1">
        <v>90</v>
      </c>
      <c r="J164" s="5">
        <v>3082</v>
      </c>
      <c r="K164" s="5" t="s">
        <v>28</v>
      </c>
      <c r="L164" s="1" t="s">
        <v>472</v>
      </c>
      <c r="M164" s="1" t="s">
        <v>64</v>
      </c>
      <c r="N164" s="1">
        <v>3525</v>
      </c>
      <c r="O164" s="1" t="s">
        <v>489</v>
      </c>
      <c r="P164" s="1">
        <v>130307</v>
      </c>
      <c r="Q164" s="6" t="s">
        <v>473</v>
      </c>
      <c r="R164" s="1" t="s">
        <v>32</v>
      </c>
      <c r="S164" s="7">
        <f>IF(J164="Não aplicável","N.A.",VLOOKUP(J164,'[1]Lista ONU'!$A$2:$D$2271,3))</f>
        <v>1000</v>
      </c>
      <c r="T164" s="7" t="str">
        <f>IF(J164="Não aplicável","N.A.",VLOOKUP(J164,'[1]Lista ONU'!$A$2:$D$2271,4))</f>
        <v>5 L</v>
      </c>
    </row>
    <row r="165" spans="1:20" x14ac:dyDescent="0.25">
      <c r="A165" s="4" t="s">
        <v>56</v>
      </c>
      <c r="B165" s="1" t="s">
        <v>490</v>
      </c>
      <c r="C165" s="1" t="s">
        <v>58</v>
      </c>
      <c r="D165" s="1" t="s">
        <v>59</v>
      </c>
      <c r="E165" s="5" t="s">
        <v>24</v>
      </c>
      <c r="F165" s="5" t="s">
        <v>54</v>
      </c>
      <c r="G165" s="1" t="s">
        <v>73</v>
      </c>
      <c r="H165" s="5" t="s">
        <v>62</v>
      </c>
      <c r="I165" s="5">
        <v>90</v>
      </c>
      <c r="J165" s="5">
        <v>3082</v>
      </c>
      <c r="K165" s="5" t="s">
        <v>28</v>
      </c>
      <c r="L165" s="1" t="s">
        <v>132</v>
      </c>
      <c r="M165" s="1" t="s">
        <v>64</v>
      </c>
      <c r="N165" s="1">
        <v>801906</v>
      </c>
      <c r="O165" s="1" t="s">
        <v>489</v>
      </c>
      <c r="P165" s="1">
        <v>130307</v>
      </c>
      <c r="Q165" s="6" t="s">
        <v>473</v>
      </c>
      <c r="R165" s="1" t="s">
        <v>32</v>
      </c>
      <c r="S165" s="7">
        <f>IF(J165="Não aplicável","N.A.",VLOOKUP(J165,'[1]Lista ONU'!$A$2:$D$2271,3))</f>
        <v>1000</v>
      </c>
      <c r="T165" s="7" t="str">
        <f>IF(J165="Não aplicável","N.A.",VLOOKUP(J165,'[1]Lista ONU'!$A$2:$D$2271,4))</f>
        <v>5 L</v>
      </c>
    </row>
    <row r="166" spans="1:20" x14ac:dyDescent="0.25">
      <c r="A166" s="4" t="s">
        <v>56</v>
      </c>
      <c r="B166" s="1" t="s">
        <v>491</v>
      </c>
      <c r="C166" s="1" t="s">
        <v>58</v>
      </c>
      <c r="D166" s="1" t="s">
        <v>59</v>
      </c>
      <c r="E166" s="5" t="s">
        <v>24</v>
      </c>
      <c r="F166" s="5" t="s">
        <v>60</v>
      </c>
      <c r="G166" s="1" t="s">
        <v>492</v>
      </c>
      <c r="H166" s="5" t="s">
        <v>62</v>
      </c>
      <c r="I166" s="5">
        <v>90</v>
      </c>
      <c r="J166" s="5">
        <v>3082</v>
      </c>
      <c r="K166" s="5" t="s">
        <v>28</v>
      </c>
      <c r="L166" s="1" t="s">
        <v>493</v>
      </c>
      <c r="M166" s="1" t="s">
        <v>64</v>
      </c>
      <c r="N166" s="1">
        <v>801906</v>
      </c>
      <c r="O166" s="1" t="s">
        <v>489</v>
      </c>
      <c r="P166" s="1">
        <v>130307</v>
      </c>
      <c r="Q166" s="6" t="s">
        <v>473</v>
      </c>
      <c r="R166" s="1" t="s">
        <v>32</v>
      </c>
      <c r="S166" s="7">
        <f>IF(J166="Não aplicável","N.A.",VLOOKUP(J166,'[1]Lista ONU'!$A$2:$D$2271,3))</f>
        <v>1000</v>
      </c>
      <c r="T166" s="7" t="str">
        <f>IF(J166="Não aplicável","N.A.",VLOOKUP(J166,'[1]Lista ONU'!$A$2:$D$2271,4))</f>
        <v>5 L</v>
      </c>
    </row>
    <row r="167" spans="1:20" x14ac:dyDescent="0.25">
      <c r="A167" s="4" t="s">
        <v>56</v>
      </c>
      <c r="B167" s="1" t="s">
        <v>494</v>
      </c>
      <c r="C167" s="1" t="s">
        <v>22</v>
      </c>
      <c r="D167" s="1" t="s">
        <v>495</v>
      </c>
      <c r="E167" s="5" t="s">
        <v>24</v>
      </c>
      <c r="F167" s="5" t="s">
        <v>25</v>
      </c>
      <c r="G167" s="1" t="s">
        <v>496</v>
      </c>
      <c r="H167" s="5" t="s">
        <v>62</v>
      </c>
      <c r="I167" s="1">
        <v>90</v>
      </c>
      <c r="J167" s="1">
        <v>3082</v>
      </c>
      <c r="K167" s="5" t="s">
        <v>28</v>
      </c>
      <c r="L167" s="1" t="s">
        <v>132</v>
      </c>
      <c r="M167" s="1" t="s">
        <v>497</v>
      </c>
      <c r="N167" s="1">
        <v>801908</v>
      </c>
      <c r="O167" s="1" t="s">
        <v>66</v>
      </c>
      <c r="P167" s="1">
        <v>130309</v>
      </c>
      <c r="Q167" s="10" t="s">
        <v>498</v>
      </c>
      <c r="R167" s="1" t="s">
        <v>32</v>
      </c>
      <c r="S167" s="7">
        <f>IF(J167="Não aplicável","N.A.",VLOOKUP(J167,'[1]Lista ONU'!$A$2:$D$2271,3))</f>
        <v>1000</v>
      </c>
      <c r="T167" s="7" t="str">
        <f>IF(J167="Não aplicável","N.A.",VLOOKUP(J167,'[1]Lista ONU'!$A$2:$D$2271,4))</f>
        <v>5 L</v>
      </c>
    </row>
    <row r="168" spans="1:20" x14ac:dyDescent="0.25">
      <c r="A168" s="4" t="s">
        <v>20</v>
      </c>
      <c r="B168" s="1" t="s">
        <v>499</v>
      </c>
      <c r="C168" s="1" t="s">
        <v>22</v>
      </c>
      <c r="D168" s="1" t="s">
        <v>500</v>
      </c>
      <c r="E168" s="5" t="s">
        <v>24</v>
      </c>
      <c r="F168" s="5" t="s">
        <v>501</v>
      </c>
      <c r="G168" s="1" t="s">
        <v>73</v>
      </c>
      <c r="H168" s="5" t="s">
        <v>99</v>
      </c>
      <c r="I168" s="5">
        <v>60</v>
      </c>
      <c r="J168" s="5">
        <v>3018</v>
      </c>
      <c r="K168" s="5" t="s">
        <v>28</v>
      </c>
      <c r="L168" s="1" t="s">
        <v>43</v>
      </c>
      <c r="M168" s="1" t="s">
        <v>502</v>
      </c>
      <c r="N168" s="5" t="s">
        <v>110</v>
      </c>
      <c r="O168" s="5" t="s">
        <v>110</v>
      </c>
      <c r="P168" s="1" t="s">
        <v>110</v>
      </c>
      <c r="Q168" s="11" t="s">
        <v>503</v>
      </c>
      <c r="R168" s="1" t="s">
        <v>32</v>
      </c>
      <c r="S168" s="7">
        <f>IF(J168="Não aplicável","N.A.",VLOOKUP(J168,'[1]Lista ONU'!$A$2:$D$2271,3))</f>
        <v>20</v>
      </c>
      <c r="T168" s="7" t="str">
        <f>IF(J168="Não aplicável","N.A.",VLOOKUP(J168,'[1]Lista ONU'!$A$2:$D$2271,4))</f>
        <v>100 ml</v>
      </c>
    </row>
    <row r="169" spans="1:20" x14ac:dyDescent="0.25">
      <c r="A169" s="4" t="s">
        <v>20</v>
      </c>
      <c r="B169" s="1" t="s">
        <v>504</v>
      </c>
      <c r="C169" s="1" t="s">
        <v>22</v>
      </c>
      <c r="D169" s="1" t="s">
        <v>53</v>
      </c>
      <c r="E169" s="5" t="s">
        <v>24</v>
      </c>
      <c r="F169" s="5" t="s">
        <v>54</v>
      </c>
      <c r="G169" s="1" t="s">
        <v>26</v>
      </c>
      <c r="H169" s="5" t="s">
        <v>37</v>
      </c>
      <c r="I169" s="5">
        <v>80</v>
      </c>
      <c r="J169" s="5">
        <v>1760</v>
      </c>
      <c r="K169" s="5" t="s">
        <v>28</v>
      </c>
      <c r="L169" s="1" t="s">
        <v>43</v>
      </c>
      <c r="M169" s="5" t="s">
        <v>55</v>
      </c>
      <c r="N169" s="1">
        <v>801911</v>
      </c>
      <c r="O169" s="1" t="s">
        <v>299</v>
      </c>
      <c r="P169" s="1">
        <v>60106</v>
      </c>
      <c r="Q169" s="6" t="s">
        <v>39</v>
      </c>
      <c r="R169" s="1" t="s">
        <v>32</v>
      </c>
      <c r="S169" s="7">
        <f>IF(J169="Não aplicável","N.A.",VLOOKUP(J169,'[1]Lista ONU'!$A$2:$D$2271,3))</f>
        <v>20</v>
      </c>
      <c r="T169" s="7" t="str">
        <f>IF(J169="Não aplicável","N.A.",VLOOKUP(J169,'[1]Lista ONU'!$A$2:$D$2271,4))</f>
        <v>1 L</v>
      </c>
    </row>
    <row r="170" spans="1:20" x14ac:dyDescent="0.25">
      <c r="A170" s="4" t="s">
        <v>311</v>
      </c>
      <c r="B170" s="1" t="s">
        <v>505</v>
      </c>
      <c r="C170" s="1" t="s">
        <v>22</v>
      </c>
      <c r="D170" s="1" t="s">
        <v>106</v>
      </c>
      <c r="E170" s="5" t="s">
        <v>107</v>
      </c>
      <c r="F170" s="5" t="s">
        <v>313</v>
      </c>
      <c r="G170" s="1" t="s">
        <v>314</v>
      </c>
      <c r="H170" s="1" t="s">
        <v>106</v>
      </c>
      <c r="I170" s="1" t="s">
        <v>106</v>
      </c>
      <c r="J170" s="1" t="s">
        <v>106</v>
      </c>
      <c r="K170" s="5" t="s">
        <v>28</v>
      </c>
      <c r="L170" s="1" t="s">
        <v>109</v>
      </c>
      <c r="M170" s="1" t="s">
        <v>110</v>
      </c>
      <c r="N170" s="1">
        <v>801934</v>
      </c>
      <c r="O170" s="1" t="s">
        <v>315</v>
      </c>
      <c r="P170" s="1">
        <v>30308</v>
      </c>
      <c r="Q170" s="6" t="s">
        <v>316</v>
      </c>
      <c r="R170" s="1" t="s">
        <v>32</v>
      </c>
      <c r="S170" s="7" t="str">
        <f>IF(J170="Não aplicável","N.A.",VLOOKUP(J170,'[1]Lista ONU'!$A$2:$D$2271,3))</f>
        <v>N.A.</v>
      </c>
      <c r="T170" s="7" t="str">
        <f>IF(J170="Não aplicável","N.A.",VLOOKUP(J170,'[1]Lista ONU'!$A$2:$D$2271,4))</f>
        <v>N.A.</v>
      </c>
    </row>
    <row r="171" spans="1:20" x14ac:dyDescent="0.25">
      <c r="A171" s="4" t="s">
        <v>56</v>
      </c>
      <c r="B171" s="1" t="s">
        <v>506</v>
      </c>
      <c r="C171" s="1" t="s">
        <v>22</v>
      </c>
      <c r="D171" s="1" t="s">
        <v>59</v>
      </c>
      <c r="E171" s="5" t="s">
        <v>24</v>
      </c>
      <c r="F171" s="5" t="s">
        <v>60</v>
      </c>
      <c r="G171" s="1" t="s">
        <v>73</v>
      </c>
      <c r="H171" s="5" t="s">
        <v>62</v>
      </c>
      <c r="I171" s="1">
        <v>90</v>
      </c>
      <c r="J171" s="5">
        <v>3077</v>
      </c>
      <c r="K171" s="5" t="s">
        <v>28</v>
      </c>
      <c r="L171" s="1" t="s">
        <v>132</v>
      </c>
      <c r="M171" s="1" t="s">
        <v>133</v>
      </c>
      <c r="N171" s="1">
        <v>801894</v>
      </c>
      <c r="O171" s="1" t="s">
        <v>213</v>
      </c>
      <c r="P171" s="3">
        <v>130899</v>
      </c>
      <c r="Q171" s="6" t="s">
        <v>356</v>
      </c>
      <c r="R171" s="1" t="s">
        <v>32</v>
      </c>
      <c r="S171" s="7">
        <f>IF(J171="Não aplicável","N.A.",VLOOKUP(J171,'[1]Lista ONU'!$A$2:$D$2271,3))</f>
        <v>1000</v>
      </c>
      <c r="T171" s="7" t="str">
        <f>IF(J171="Não aplicável","N.A.",VLOOKUP(J171,'[1]Lista ONU'!$A$2:$D$2271,4))</f>
        <v>5 kg</v>
      </c>
    </row>
    <row r="172" spans="1:20" x14ac:dyDescent="0.25">
      <c r="A172" s="4" t="s">
        <v>368</v>
      </c>
      <c r="B172" s="1" t="s">
        <v>507</v>
      </c>
      <c r="C172" s="1" t="s">
        <v>22</v>
      </c>
      <c r="D172" s="1" t="s">
        <v>106</v>
      </c>
      <c r="E172" s="5" t="s">
        <v>228</v>
      </c>
      <c r="F172" s="5" t="s">
        <v>87</v>
      </c>
      <c r="G172" s="1" t="s">
        <v>266</v>
      </c>
      <c r="H172" s="1" t="s">
        <v>106</v>
      </c>
      <c r="I172" s="1" t="s">
        <v>106</v>
      </c>
      <c r="J172" s="1" t="s">
        <v>106</v>
      </c>
      <c r="K172" s="5" t="s">
        <v>28</v>
      </c>
      <c r="L172" s="1" t="s">
        <v>109</v>
      </c>
      <c r="M172" s="1" t="s">
        <v>110</v>
      </c>
      <c r="N172" s="1">
        <v>260463</v>
      </c>
      <c r="O172" s="1" t="s">
        <v>508</v>
      </c>
      <c r="P172" s="1">
        <v>160214</v>
      </c>
      <c r="Q172" s="6" t="s">
        <v>251</v>
      </c>
      <c r="R172" s="1" t="s">
        <v>32</v>
      </c>
      <c r="S172" s="7" t="str">
        <f>IF(J172="Não aplicável","N.A.",VLOOKUP(J172,'[1]Lista ONU'!$A$2:$D$2271,3))</f>
        <v>N.A.</v>
      </c>
      <c r="T172" s="7" t="str">
        <f>IF(J172="Não aplicável","N.A.",VLOOKUP(J172,'[1]Lista ONU'!$A$2:$D$2271,4))</f>
        <v>N.A.</v>
      </c>
    </row>
    <row r="173" spans="1:20" x14ac:dyDescent="0.25">
      <c r="A173" s="4" t="s">
        <v>20</v>
      </c>
      <c r="B173" s="1" t="s">
        <v>509</v>
      </c>
      <c r="C173" s="1" t="s">
        <v>22</v>
      </c>
      <c r="D173" s="1" t="s">
        <v>59</v>
      </c>
      <c r="E173" s="5" t="s">
        <v>24</v>
      </c>
      <c r="F173" s="5" t="s">
        <v>54</v>
      </c>
      <c r="G173" s="1" t="s">
        <v>73</v>
      </c>
      <c r="H173" s="5" t="s">
        <v>62</v>
      </c>
      <c r="I173" s="5">
        <v>90</v>
      </c>
      <c r="J173" s="5">
        <v>3432</v>
      </c>
      <c r="K173" s="5" t="s">
        <v>28</v>
      </c>
      <c r="L173" s="1" t="s">
        <v>121</v>
      </c>
      <c r="M173" s="1" t="s">
        <v>122</v>
      </c>
      <c r="N173" s="1">
        <v>801902</v>
      </c>
      <c r="O173" s="1" t="s">
        <v>307</v>
      </c>
      <c r="P173" s="1">
        <v>170502</v>
      </c>
      <c r="Q173" s="6" t="s">
        <v>124</v>
      </c>
      <c r="R173" s="1" t="s">
        <v>32</v>
      </c>
      <c r="S173" s="7" t="str">
        <f>IF(J173="Não aplicável","N.A.",VLOOKUP(J173,'[1]Lista ONU'!$A$2:$D$2271,3))</f>
        <v>ZERO</v>
      </c>
      <c r="T173" s="7" t="str">
        <f>IF(J173="Não aplicável","N.A.",VLOOKUP(J173,'[1]Lista ONU'!$A$2:$D$2271,4))</f>
        <v>1 kg</v>
      </c>
    </row>
    <row r="174" spans="1:20" x14ac:dyDescent="0.25">
      <c r="A174" s="4" t="s">
        <v>20</v>
      </c>
      <c r="B174" s="1" t="s">
        <v>510</v>
      </c>
      <c r="C174" s="1" t="s">
        <v>22</v>
      </c>
      <c r="D174" s="1" t="s">
        <v>106</v>
      </c>
      <c r="E174" s="5" t="s">
        <v>511</v>
      </c>
      <c r="F174" s="5" t="s">
        <v>405</v>
      </c>
      <c r="G174" s="1" t="s">
        <v>116</v>
      </c>
      <c r="H174" s="1" t="s">
        <v>106</v>
      </c>
      <c r="I174" s="1" t="s">
        <v>106</v>
      </c>
      <c r="J174" s="1" t="s">
        <v>106</v>
      </c>
      <c r="K174" s="5" t="s">
        <v>28</v>
      </c>
      <c r="L174" s="1" t="s">
        <v>512</v>
      </c>
      <c r="M174" s="1" t="s">
        <v>110</v>
      </c>
      <c r="N174" s="1">
        <v>92874</v>
      </c>
      <c r="O174" s="1" t="s">
        <v>513</v>
      </c>
      <c r="P174" s="1">
        <v>160117</v>
      </c>
      <c r="Q174" s="6" t="s">
        <v>278</v>
      </c>
      <c r="R174" s="1" t="s">
        <v>32</v>
      </c>
      <c r="S174" s="7" t="str">
        <f>IF(J174="Não aplicável","N.A.",VLOOKUP(J174,'[1]Lista ONU'!$A$2:$D$2271,3))</f>
        <v>N.A.</v>
      </c>
      <c r="T174" s="7" t="str">
        <f>IF(J174="Não aplicável","N.A.",VLOOKUP(J174,'[1]Lista ONU'!$A$2:$D$2271,4))</f>
        <v>N.A.</v>
      </c>
    </row>
    <row r="175" spans="1:20" x14ac:dyDescent="0.25">
      <c r="A175" s="4" t="s">
        <v>20</v>
      </c>
      <c r="B175" s="1" t="s">
        <v>514</v>
      </c>
      <c r="C175" s="1" t="s">
        <v>22</v>
      </c>
      <c r="D175" s="1" t="s">
        <v>59</v>
      </c>
      <c r="E175" s="5" t="s">
        <v>24</v>
      </c>
      <c r="F175" s="5" t="s">
        <v>25</v>
      </c>
      <c r="G175" s="1" t="s">
        <v>355</v>
      </c>
      <c r="H175" s="5" t="s">
        <v>62</v>
      </c>
      <c r="I175" s="5">
        <v>90</v>
      </c>
      <c r="J175" s="5">
        <v>3077</v>
      </c>
      <c r="K175" s="5" t="s">
        <v>28</v>
      </c>
      <c r="L175" s="1" t="s">
        <v>310</v>
      </c>
      <c r="M175" s="1" t="s">
        <v>133</v>
      </c>
      <c r="N175" s="1">
        <v>801927</v>
      </c>
      <c r="O175" s="1" t="s">
        <v>515</v>
      </c>
      <c r="P175" s="3">
        <v>130899</v>
      </c>
      <c r="Q175" s="6" t="s">
        <v>356</v>
      </c>
      <c r="R175" s="1" t="s">
        <v>32</v>
      </c>
      <c r="S175" s="7">
        <f>IF(J175="Não aplicável","N.A.",VLOOKUP(J175,'[1]Lista ONU'!$A$2:$D$2271,3))</f>
        <v>1000</v>
      </c>
      <c r="T175" s="7" t="str">
        <f>IF(J175="Não aplicável","N.A.",VLOOKUP(J175,'[1]Lista ONU'!$A$2:$D$2271,4))</f>
        <v>5 kg</v>
      </c>
    </row>
    <row r="176" spans="1:20" x14ac:dyDescent="0.25">
      <c r="A176" s="4" t="s">
        <v>20</v>
      </c>
      <c r="B176" s="1" t="s">
        <v>516</v>
      </c>
      <c r="C176" s="1" t="s">
        <v>22</v>
      </c>
      <c r="D176" s="1" t="s">
        <v>517</v>
      </c>
      <c r="E176" s="5" t="s">
        <v>24</v>
      </c>
      <c r="F176" s="5" t="s">
        <v>25</v>
      </c>
      <c r="G176" s="1" t="s">
        <v>26</v>
      </c>
      <c r="H176" s="5" t="s">
        <v>27</v>
      </c>
      <c r="I176" s="5">
        <v>30</v>
      </c>
      <c r="J176" s="5">
        <v>1265</v>
      </c>
      <c r="K176" s="5" t="s">
        <v>28</v>
      </c>
      <c r="L176" s="5" t="s">
        <v>29</v>
      </c>
      <c r="M176" s="5" t="s">
        <v>516</v>
      </c>
      <c r="N176" s="5">
        <v>801910</v>
      </c>
      <c r="O176" s="5" t="s">
        <v>30</v>
      </c>
      <c r="P176" s="1">
        <v>70104</v>
      </c>
      <c r="Q176" s="6" t="s">
        <v>31</v>
      </c>
      <c r="R176" s="1" t="s">
        <v>32</v>
      </c>
      <c r="S176" s="7">
        <f>IF(J176="Não aplicável","N.A.",VLOOKUP(J176,'[1]Lista ONU'!$A$2:$D$2271,3))</f>
        <v>20</v>
      </c>
      <c r="T176" s="7" t="str">
        <f>IF(J176="Não aplicável","N.A.",VLOOKUP(J176,'[1]Lista ONU'!$A$2:$D$2271,4))</f>
        <v>1 L</v>
      </c>
    </row>
    <row r="177" spans="1:20" x14ac:dyDescent="0.25">
      <c r="A177" s="4" t="s">
        <v>20</v>
      </c>
      <c r="B177" s="1" t="s">
        <v>518</v>
      </c>
      <c r="C177" s="1" t="s">
        <v>22</v>
      </c>
      <c r="D177" s="1" t="s">
        <v>519</v>
      </c>
      <c r="E177" s="5" t="s">
        <v>24</v>
      </c>
      <c r="F177" s="5" t="s">
        <v>54</v>
      </c>
      <c r="G177" s="1" t="s">
        <v>26</v>
      </c>
      <c r="H177" s="5" t="s">
        <v>37</v>
      </c>
      <c r="I177" s="5">
        <v>80</v>
      </c>
      <c r="J177" s="5">
        <v>2582</v>
      </c>
      <c r="K177" s="5" t="s">
        <v>28</v>
      </c>
      <c r="L177" s="1" t="s">
        <v>43</v>
      </c>
      <c r="M177" s="1" t="s">
        <v>55</v>
      </c>
      <c r="N177" s="1">
        <v>801911</v>
      </c>
      <c r="O177" s="1" t="s">
        <v>299</v>
      </c>
      <c r="P177" s="1">
        <v>60106</v>
      </c>
      <c r="Q177" s="6" t="s">
        <v>520</v>
      </c>
      <c r="R177" s="1" t="s">
        <v>32</v>
      </c>
      <c r="S177" s="7">
        <f>IF(J177="Não aplicável","N.A.",VLOOKUP(J177,'[1]Lista ONU'!$A$2:$D$2271,3))</f>
        <v>1000</v>
      </c>
      <c r="T177" s="7" t="str">
        <f>IF(J177="Não aplicável","N.A.",VLOOKUP(J177,'[1]Lista ONU'!$A$2:$D$2271,4))</f>
        <v>5 L</v>
      </c>
    </row>
    <row r="178" spans="1:20" x14ac:dyDescent="0.25">
      <c r="A178" s="4" t="s">
        <v>128</v>
      </c>
      <c r="B178" s="1" t="s">
        <v>521</v>
      </c>
      <c r="C178" s="1" t="s">
        <v>22</v>
      </c>
      <c r="D178" s="1" t="s">
        <v>130</v>
      </c>
      <c r="E178" s="5" t="s">
        <v>24</v>
      </c>
      <c r="F178" s="5" t="s">
        <v>106</v>
      </c>
      <c r="G178" s="1" t="s">
        <v>131</v>
      </c>
      <c r="H178" s="5" t="s">
        <v>62</v>
      </c>
      <c r="I178" s="5">
        <v>90</v>
      </c>
      <c r="J178" s="5">
        <v>3077</v>
      </c>
      <c r="K178" s="5" t="s">
        <v>28</v>
      </c>
      <c r="L178" s="1" t="s">
        <v>132</v>
      </c>
      <c r="M178" s="1" t="s">
        <v>133</v>
      </c>
      <c r="N178" s="1">
        <v>801897</v>
      </c>
      <c r="O178" s="1" t="s">
        <v>134</v>
      </c>
      <c r="P178" s="1">
        <v>150202</v>
      </c>
      <c r="Q178" s="6" t="s">
        <v>135</v>
      </c>
      <c r="R178" s="1" t="s">
        <v>32</v>
      </c>
      <c r="S178" s="7">
        <f>IF(J178="Não aplicável","N.A.",VLOOKUP(J178,'[1]Lista ONU'!$A$2:$D$2271,3))</f>
        <v>1000</v>
      </c>
      <c r="T178" s="7" t="str">
        <f>IF(J178="Não aplicável","N.A.",VLOOKUP(J178,'[1]Lista ONU'!$A$2:$D$2271,4))</f>
        <v>5 kg</v>
      </c>
    </row>
    <row r="179" spans="1:20" x14ac:dyDescent="0.25">
      <c r="A179" s="4" t="s">
        <v>56</v>
      </c>
      <c r="B179" s="1" t="s">
        <v>522</v>
      </c>
      <c r="C179" s="1" t="s">
        <v>22</v>
      </c>
      <c r="D179" s="1" t="s">
        <v>342</v>
      </c>
      <c r="E179" s="5" t="s">
        <v>24</v>
      </c>
      <c r="F179" s="5" t="s">
        <v>25</v>
      </c>
      <c r="G179" s="1" t="s">
        <v>73</v>
      </c>
      <c r="H179" s="1" t="s">
        <v>27</v>
      </c>
      <c r="I179" s="1">
        <v>30</v>
      </c>
      <c r="J179" s="5">
        <v>1999</v>
      </c>
      <c r="K179" s="5" t="s">
        <v>28</v>
      </c>
      <c r="L179" s="1" t="s">
        <v>132</v>
      </c>
      <c r="M179" s="1" t="s">
        <v>75</v>
      </c>
      <c r="N179" s="5" t="s">
        <v>110</v>
      </c>
      <c r="O179" s="5" t="s">
        <v>110</v>
      </c>
      <c r="P179" s="1" t="s">
        <v>110</v>
      </c>
      <c r="Q179" s="6" t="s">
        <v>110</v>
      </c>
      <c r="R179" s="1" t="s">
        <v>32</v>
      </c>
      <c r="S179" s="7">
        <f>IF(J179="Não aplicável","N.A.",VLOOKUP(J179,'[1]Lista ONU'!$A$2:$D$2271,3))</f>
        <v>333</v>
      </c>
      <c r="T179" s="7" t="str">
        <f>IF(J179="Não aplicável","N.A.",VLOOKUP(J179,'[1]Lista ONU'!$A$2:$D$2271,4))</f>
        <v>5 L</v>
      </c>
    </row>
    <row r="180" spans="1:20" x14ac:dyDescent="0.25">
      <c r="A180" s="4" t="s">
        <v>139</v>
      </c>
      <c r="B180" s="1" t="s">
        <v>523</v>
      </c>
      <c r="C180" s="1" t="s">
        <v>22</v>
      </c>
      <c r="D180" s="1" t="s">
        <v>106</v>
      </c>
      <c r="E180" s="5" t="s">
        <v>24</v>
      </c>
      <c r="F180" s="5" t="s">
        <v>142</v>
      </c>
      <c r="G180" s="1" t="s">
        <v>147</v>
      </c>
      <c r="H180" s="5" t="s">
        <v>62</v>
      </c>
      <c r="I180" s="5">
        <v>90</v>
      </c>
      <c r="J180" s="5">
        <v>3077</v>
      </c>
      <c r="K180" s="5" t="s">
        <v>28</v>
      </c>
      <c r="L180" s="1" t="s">
        <v>109</v>
      </c>
      <c r="M180" s="1" t="s">
        <v>133</v>
      </c>
      <c r="N180" s="1">
        <v>801892</v>
      </c>
      <c r="O180" s="1" t="s">
        <v>176</v>
      </c>
      <c r="P180" s="1">
        <v>160602</v>
      </c>
      <c r="Q180" s="6" t="s">
        <v>150</v>
      </c>
      <c r="R180" s="1" t="s">
        <v>32</v>
      </c>
      <c r="S180" s="7">
        <f>IF(J180="Não aplicável","N.A.",VLOOKUP(J180,'[1]Lista ONU'!$A$2:$D$2271,3))</f>
        <v>1000</v>
      </c>
      <c r="T180" s="7" t="str">
        <f>IF(J180="Não aplicável","N.A.",VLOOKUP(J180,'[1]Lista ONU'!$A$2:$D$2271,4))</f>
        <v>5 kg</v>
      </c>
    </row>
    <row r="181" spans="1:20" x14ac:dyDescent="0.25">
      <c r="A181" s="4" t="s">
        <v>139</v>
      </c>
      <c r="B181" s="1" t="s">
        <v>524</v>
      </c>
      <c r="C181" s="1" t="s">
        <v>22</v>
      </c>
      <c r="D181" s="1" t="s">
        <v>106</v>
      </c>
      <c r="E181" s="5" t="s">
        <v>24</v>
      </c>
      <c r="F181" s="5" t="s">
        <v>142</v>
      </c>
      <c r="G181" s="1" t="s">
        <v>147</v>
      </c>
      <c r="H181" s="5" t="s">
        <v>62</v>
      </c>
      <c r="I181" s="5">
        <v>90</v>
      </c>
      <c r="J181" s="5">
        <v>3090</v>
      </c>
      <c r="K181" s="5" t="s">
        <v>28</v>
      </c>
      <c r="L181" s="1" t="s">
        <v>109</v>
      </c>
      <c r="M181" s="1" t="s">
        <v>133</v>
      </c>
      <c r="N181" s="1">
        <v>801892</v>
      </c>
      <c r="O181" s="1" t="s">
        <v>176</v>
      </c>
      <c r="P181" s="1">
        <v>160602</v>
      </c>
      <c r="Q181" s="6" t="s">
        <v>150</v>
      </c>
      <c r="R181" s="1" t="s">
        <v>32</v>
      </c>
      <c r="S181" s="7">
        <f>IF(J181="Não aplicável","N.A.",VLOOKUP(J181,'[1]Lista ONU'!$A$2:$D$2271,3))</f>
        <v>333</v>
      </c>
      <c r="T181" s="7" t="str">
        <f>IF(J181="Não aplicável","N.A.",VLOOKUP(J181,'[1]Lista ONU'!$A$2:$D$2271,4))</f>
        <v>ZERO</v>
      </c>
    </row>
    <row r="182" spans="1:20" x14ac:dyDescent="0.25">
      <c r="A182" s="4" t="s">
        <v>139</v>
      </c>
      <c r="B182" s="1" t="s">
        <v>525</v>
      </c>
      <c r="C182" s="1" t="s">
        <v>22</v>
      </c>
      <c r="D182" s="1" t="s">
        <v>141</v>
      </c>
      <c r="E182" s="5" t="s">
        <v>24</v>
      </c>
      <c r="F182" s="5" t="s">
        <v>526</v>
      </c>
      <c r="G182" s="1" t="s">
        <v>143</v>
      </c>
      <c r="H182" s="5" t="s">
        <v>37</v>
      </c>
      <c r="I182" s="5">
        <v>80</v>
      </c>
      <c r="J182" s="5">
        <v>3028</v>
      </c>
      <c r="K182" s="5" t="s">
        <v>28</v>
      </c>
      <c r="L182" s="1" t="s">
        <v>109</v>
      </c>
      <c r="M182" s="1" t="s">
        <v>55</v>
      </c>
      <c r="N182" s="1">
        <v>801892</v>
      </c>
      <c r="O182" s="1" t="s">
        <v>176</v>
      </c>
      <c r="P182" s="1">
        <v>160602</v>
      </c>
      <c r="Q182" s="6" t="s">
        <v>150</v>
      </c>
      <c r="R182" s="1" t="s">
        <v>32</v>
      </c>
      <c r="S182" s="7">
        <f>IF(J182="Não aplicável","N.A.",VLOOKUP(J182,'[1]Lista ONU'!$A$2:$D$2271,3))</f>
        <v>1000</v>
      </c>
      <c r="T182" s="7" t="str">
        <f>IF(J182="Não aplicável","N.A.",VLOOKUP(J182,'[1]Lista ONU'!$A$2:$D$2271,4))</f>
        <v>2 kg</v>
      </c>
    </row>
    <row r="183" spans="1:20" x14ac:dyDescent="0.25">
      <c r="A183" s="4" t="s">
        <v>215</v>
      </c>
      <c r="B183" s="1" t="s">
        <v>527</v>
      </c>
      <c r="C183" s="1" t="s">
        <v>22</v>
      </c>
      <c r="D183" s="1" t="s">
        <v>106</v>
      </c>
      <c r="E183" s="5" t="s">
        <v>107</v>
      </c>
      <c r="F183" s="5" t="s">
        <v>25</v>
      </c>
      <c r="G183" s="1" t="s">
        <v>217</v>
      </c>
      <c r="H183" s="1" t="s">
        <v>106</v>
      </c>
      <c r="I183" s="1" t="s">
        <v>106</v>
      </c>
      <c r="J183" s="1" t="s">
        <v>106</v>
      </c>
      <c r="K183" s="5" t="s">
        <v>28</v>
      </c>
      <c r="L183" s="1" t="s">
        <v>109</v>
      </c>
      <c r="M183" s="1" t="s">
        <v>110</v>
      </c>
      <c r="N183" s="1">
        <v>338004</v>
      </c>
      <c r="O183" s="1" t="s">
        <v>528</v>
      </c>
      <c r="P183" s="1">
        <v>170604</v>
      </c>
      <c r="Q183" s="6" t="s">
        <v>371</v>
      </c>
      <c r="R183" s="1" t="s">
        <v>32</v>
      </c>
      <c r="S183" s="7" t="str">
        <f>IF(J183="Não aplicável","N.A.",VLOOKUP(J183,'[1]Lista ONU'!$A$2:$D$2271,3))</f>
        <v>N.A.</v>
      </c>
      <c r="T183" s="7" t="str">
        <f>IF(J183="Não aplicável","N.A.",VLOOKUP(J183,'[1]Lista ONU'!$A$2:$D$2271,4))</f>
        <v>N.A.</v>
      </c>
    </row>
    <row r="184" spans="1:20" x14ac:dyDescent="0.25">
      <c r="A184" s="4" t="s">
        <v>215</v>
      </c>
      <c r="B184" s="1" t="s">
        <v>529</v>
      </c>
      <c r="C184" s="1"/>
      <c r="D184" s="1" t="s">
        <v>106</v>
      </c>
      <c r="E184" s="5" t="s">
        <v>24</v>
      </c>
      <c r="F184" s="5" t="s">
        <v>25</v>
      </c>
      <c r="G184" s="1" t="s">
        <v>217</v>
      </c>
      <c r="H184" s="5" t="s">
        <v>62</v>
      </c>
      <c r="I184" s="1">
        <v>90</v>
      </c>
      <c r="J184" s="1">
        <v>3077</v>
      </c>
      <c r="K184" s="5" t="s">
        <v>28</v>
      </c>
      <c r="L184" s="1" t="s">
        <v>109</v>
      </c>
      <c r="M184" s="1" t="s">
        <v>133</v>
      </c>
      <c r="N184" s="5" t="s">
        <v>110</v>
      </c>
      <c r="O184" s="5" t="s">
        <v>110</v>
      </c>
      <c r="P184" s="1" t="s">
        <v>110</v>
      </c>
      <c r="Q184" s="6" t="s">
        <v>110</v>
      </c>
      <c r="R184" s="1" t="s">
        <v>32</v>
      </c>
      <c r="S184" s="7">
        <f>IF(J184="Não aplicável","N.A.",VLOOKUP(J184,'[1]Lista ONU'!$A$2:$D$2271,3))</f>
        <v>1000</v>
      </c>
      <c r="T184" s="7" t="str">
        <f>IF(J184="Não aplicável","N.A.",VLOOKUP(J184,'[1]Lista ONU'!$A$2:$D$2271,4))</f>
        <v>5 kg</v>
      </c>
    </row>
    <row r="185" spans="1:20" x14ac:dyDescent="0.25">
      <c r="A185" s="4" t="s">
        <v>264</v>
      </c>
      <c r="B185" s="1" t="s">
        <v>530</v>
      </c>
      <c r="C185" s="1" t="s">
        <v>22</v>
      </c>
      <c r="D185" s="1" t="s">
        <v>106</v>
      </c>
      <c r="E185" s="5" t="s">
        <v>107</v>
      </c>
      <c r="F185" s="5" t="s">
        <v>87</v>
      </c>
      <c r="G185" s="1" t="s">
        <v>531</v>
      </c>
      <c r="H185" s="1" t="s">
        <v>106</v>
      </c>
      <c r="I185" s="1" t="s">
        <v>106</v>
      </c>
      <c r="J185" s="1" t="s">
        <v>106</v>
      </c>
      <c r="K185" s="5" t="s">
        <v>322</v>
      </c>
      <c r="L185" s="1" t="s">
        <v>109</v>
      </c>
      <c r="M185" s="1" t="s">
        <v>110</v>
      </c>
      <c r="N185" s="1">
        <v>801935</v>
      </c>
      <c r="O185" s="1" t="s">
        <v>532</v>
      </c>
      <c r="P185" s="1">
        <v>170407</v>
      </c>
      <c r="Q185" s="6" t="s">
        <v>382</v>
      </c>
      <c r="R185" s="1" t="s">
        <v>32</v>
      </c>
      <c r="S185" s="7" t="str">
        <f>IF(J185="Não aplicável","N.A.",VLOOKUP(J185,'[1]Lista ONU'!$A$2:$D$2271,3))</f>
        <v>N.A.</v>
      </c>
      <c r="T185" s="7" t="str">
        <f>IF(J185="Não aplicável","N.A.",VLOOKUP(J185,'[1]Lista ONU'!$A$2:$D$2271,4))</f>
        <v>N.A.</v>
      </c>
    </row>
    <row r="186" spans="1:20" x14ac:dyDescent="0.25">
      <c r="A186" s="4" t="s">
        <v>230</v>
      </c>
      <c r="B186" s="1" t="s">
        <v>533</v>
      </c>
      <c r="C186" s="1" t="s">
        <v>22</v>
      </c>
      <c r="D186" s="1" t="s">
        <v>106</v>
      </c>
      <c r="E186" s="5" t="s">
        <v>107</v>
      </c>
      <c r="F186" s="5" t="s">
        <v>87</v>
      </c>
      <c r="G186" s="1" t="s">
        <v>167</v>
      </c>
      <c r="H186" s="1" t="s">
        <v>106</v>
      </c>
      <c r="I186" s="1" t="s">
        <v>106</v>
      </c>
      <c r="J186" s="1" t="s">
        <v>106</v>
      </c>
      <c r="K186" s="5" t="s">
        <v>28</v>
      </c>
      <c r="L186" s="1" t="s">
        <v>109</v>
      </c>
      <c r="M186" s="1" t="s">
        <v>110</v>
      </c>
      <c r="N186" s="1">
        <v>92668</v>
      </c>
      <c r="O186" s="1" t="s">
        <v>534</v>
      </c>
      <c r="P186" s="1">
        <v>160124</v>
      </c>
      <c r="Q186" s="6" t="s">
        <v>535</v>
      </c>
      <c r="R186" s="1" t="s">
        <v>32</v>
      </c>
      <c r="S186" s="7" t="str">
        <f>IF(J186="Não aplicável","N.A.",VLOOKUP(J186,'[1]Lista ONU'!$A$2:$D$2271,3))</f>
        <v>N.A.</v>
      </c>
      <c r="T186" s="7" t="str">
        <f>IF(J186="Não aplicável","N.A.",VLOOKUP(J186,'[1]Lista ONU'!$A$2:$D$2271,4))</f>
        <v>N.A.</v>
      </c>
    </row>
    <row r="187" spans="1:20" x14ac:dyDescent="0.25">
      <c r="A187" s="4" t="s">
        <v>230</v>
      </c>
      <c r="B187" s="1" t="s">
        <v>536</v>
      </c>
      <c r="C187" s="1" t="s">
        <v>22</v>
      </c>
      <c r="D187" s="1" t="s">
        <v>106</v>
      </c>
      <c r="E187" s="5" t="s">
        <v>107</v>
      </c>
      <c r="F187" s="5" t="s">
        <v>87</v>
      </c>
      <c r="G187" s="1" t="s">
        <v>167</v>
      </c>
      <c r="H187" s="1" t="s">
        <v>106</v>
      </c>
      <c r="I187" s="1" t="s">
        <v>106</v>
      </c>
      <c r="J187" s="1" t="s">
        <v>106</v>
      </c>
      <c r="K187" s="5" t="s">
        <v>28</v>
      </c>
      <c r="L187" s="1" t="s">
        <v>109</v>
      </c>
      <c r="M187" s="1" t="s">
        <v>110</v>
      </c>
      <c r="N187" s="1">
        <v>92668</v>
      </c>
      <c r="O187" s="1" t="s">
        <v>534</v>
      </c>
      <c r="P187" s="1">
        <v>160126</v>
      </c>
      <c r="Q187" s="6" t="s">
        <v>537</v>
      </c>
      <c r="R187" s="1" t="s">
        <v>32</v>
      </c>
      <c r="S187" s="7" t="str">
        <f>IF(J187="Não aplicável","N.A.",VLOOKUP(J187,'[1]Lista ONU'!$A$2:$D$2271,3))</f>
        <v>N.A.</v>
      </c>
      <c r="T187" s="7" t="str">
        <f>IF(J187="Não aplicável","N.A.",VLOOKUP(J187,'[1]Lista ONU'!$A$2:$D$2271,4))</f>
        <v>N.A.</v>
      </c>
    </row>
    <row r="188" spans="1:20" x14ac:dyDescent="0.25">
      <c r="A188" s="4" t="s">
        <v>230</v>
      </c>
      <c r="B188" s="1" t="s">
        <v>538</v>
      </c>
      <c r="C188" s="1" t="s">
        <v>22</v>
      </c>
      <c r="D188" s="1" t="s">
        <v>106</v>
      </c>
      <c r="E188" s="5" t="s">
        <v>107</v>
      </c>
      <c r="F188" s="5" t="s">
        <v>87</v>
      </c>
      <c r="G188" s="1" t="s">
        <v>167</v>
      </c>
      <c r="H188" s="1" t="s">
        <v>106</v>
      </c>
      <c r="I188" s="1" t="s">
        <v>106</v>
      </c>
      <c r="J188" s="1" t="s">
        <v>106</v>
      </c>
      <c r="K188" s="5" t="s">
        <v>28</v>
      </c>
      <c r="L188" s="1" t="s">
        <v>109</v>
      </c>
      <c r="M188" s="1" t="s">
        <v>110</v>
      </c>
      <c r="N188" s="1">
        <v>92668</v>
      </c>
      <c r="O188" s="1" t="s">
        <v>534</v>
      </c>
      <c r="P188" s="1">
        <v>160127</v>
      </c>
      <c r="Q188" s="6" t="s">
        <v>539</v>
      </c>
      <c r="R188" s="1" t="s">
        <v>32</v>
      </c>
      <c r="S188" s="7" t="str">
        <f>IF(J188="Não aplicável","N.A.",VLOOKUP(J188,'[1]Lista ONU'!$A$2:$D$2271,3))</f>
        <v>N.A.</v>
      </c>
      <c r="T188" s="7" t="str">
        <f>IF(J188="Não aplicável","N.A.",VLOOKUP(J188,'[1]Lista ONU'!$A$2:$D$2271,4))</f>
        <v>N.A.</v>
      </c>
    </row>
    <row r="189" spans="1:20" x14ac:dyDescent="0.25">
      <c r="A189" s="4" t="s">
        <v>20</v>
      </c>
      <c r="B189" s="1" t="s">
        <v>540</v>
      </c>
      <c r="C189" s="1" t="s">
        <v>22</v>
      </c>
      <c r="D189" s="1" t="s">
        <v>197</v>
      </c>
      <c r="E189" s="5" t="s">
        <v>107</v>
      </c>
      <c r="F189" s="5" t="s">
        <v>25</v>
      </c>
      <c r="G189" s="1" t="s">
        <v>198</v>
      </c>
      <c r="H189" s="1" t="s">
        <v>106</v>
      </c>
      <c r="I189" s="1" t="s">
        <v>106</v>
      </c>
      <c r="J189" s="1" t="s">
        <v>106</v>
      </c>
      <c r="K189" s="5" t="s">
        <v>28</v>
      </c>
      <c r="L189" s="1" t="s">
        <v>199</v>
      </c>
      <c r="M189" s="1" t="s">
        <v>110</v>
      </c>
      <c r="N189" s="5" t="s">
        <v>110</v>
      </c>
      <c r="O189" s="5" t="s">
        <v>110</v>
      </c>
      <c r="P189" s="1" t="s">
        <v>110</v>
      </c>
      <c r="Q189" s="6" t="s">
        <v>110</v>
      </c>
      <c r="R189" s="1" t="s">
        <v>32</v>
      </c>
      <c r="S189" s="7" t="str">
        <f>IF(J189="Não aplicável","N.A.",VLOOKUP(J189,'[1]Lista ONU'!$A$2:$D$2271,3))</f>
        <v>N.A.</v>
      </c>
      <c r="T189" s="7" t="str">
        <f>IF(J189="Não aplicável","N.A.",VLOOKUP(J189,'[1]Lista ONU'!$A$2:$D$2271,4))</f>
        <v>N.A.</v>
      </c>
    </row>
    <row r="190" spans="1:20" x14ac:dyDescent="0.25">
      <c r="A190" s="4" t="s">
        <v>416</v>
      </c>
      <c r="B190" s="1" t="s">
        <v>541</v>
      </c>
      <c r="C190" s="1" t="s">
        <v>22</v>
      </c>
      <c r="D190" s="1" t="s">
        <v>418</v>
      </c>
      <c r="E190" s="5" t="s">
        <v>107</v>
      </c>
      <c r="F190" s="5" t="s">
        <v>106</v>
      </c>
      <c r="G190" s="5" t="s">
        <v>419</v>
      </c>
      <c r="H190" s="1" t="s">
        <v>106</v>
      </c>
      <c r="I190" s="1" t="s">
        <v>106</v>
      </c>
      <c r="J190" s="1" t="s">
        <v>106</v>
      </c>
      <c r="K190" s="5" t="s">
        <v>322</v>
      </c>
      <c r="L190" s="1" t="s">
        <v>323</v>
      </c>
      <c r="M190" s="1" t="s">
        <v>110</v>
      </c>
      <c r="N190" s="1">
        <v>801938</v>
      </c>
      <c r="O190" s="1" t="s">
        <v>423</v>
      </c>
      <c r="P190" s="1">
        <v>200108</v>
      </c>
      <c r="Q190" s="6" t="s">
        <v>424</v>
      </c>
      <c r="R190" s="1" t="s">
        <v>32</v>
      </c>
      <c r="S190" s="7" t="str">
        <f>IF(J190="Não aplicável","N.A.",VLOOKUP(J190,'[1]Lista ONU'!$A$2:$D$2271,3))</f>
        <v>N.A.</v>
      </c>
      <c r="T190" s="7" t="str">
        <f>IF(J190="Não aplicável","N.A.",VLOOKUP(J190,'[1]Lista ONU'!$A$2:$D$2271,4))</f>
        <v>N.A.</v>
      </c>
    </row>
    <row r="191" spans="1:20" x14ac:dyDescent="0.25">
      <c r="A191" s="4" t="s">
        <v>542</v>
      </c>
      <c r="B191" s="1" t="s">
        <v>543</v>
      </c>
      <c r="C191" s="1" t="s">
        <v>95</v>
      </c>
      <c r="D191" s="1" t="s">
        <v>106</v>
      </c>
      <c r="E191" s="5" t="s">
        <v>107</v>
      </c>
      <c r="F191" s="5" t="s">
        <v>106</v>
      </c>
      <c r="G191" s="1" t="s">
        <v>106</v>
      </c>
      <c r="H191" s="1" t="s">
        <v>106</v>
      </c>
      <c r="I191" s="1" t="s">
        <v>106</v>
      </c>
      <c r="J191" s="1" t="s">
        <v>106</v>
      </c>
      <c r="K191" s="1" t="s">
        <v>28</v>
      </c>
      <c r="L191" s="1" t="s">
        <v>113</v>
      </c>
      <c r="M191" s="1" t="s">
        <v>110</v>
      </c>
      <c r="N191" s="1">
        <v>207340</v>
      </c>
      <c r="O191" s="1" t="s">
        <v>544</v>
      </c>
      <c r="P191" s="1">
        <v>170405</v>
      </c>
      <c r="Q191" s="6" t="s">
        <v>349</v>
      </c>
      <c r="R191" s="1" t="s">
        <v>113</v>
      </c>
      <c r="S191" s="7" t="str">
        <f>IF(J191="Não aplicável","N.A.",VLOOKUP(J191,'[1]Lista ONU'!$A$2:$D$2271,3))</f>
        <v>N.A.</v>
      </c>
      <c r="T191" s="7" t="str">
        <f>IF(J191="Não aplicável","N.A.",VLOOKUP(J191,'[1]Lista ONU'!$A$2:$D$2271,4))</f>
        <v>N.A.</v>
      </c>
    </row>
    <row r="192" spans="1:20" x14ac:dyDescent="0.25">
      <c r="A192" s="4" t="s">
        <v>542</v>
      </c>
      <c r="B192" s="1" t="s">
        <v>545</v>
      </c>
      <c r="C192" s="1" t="s">
        <v>95</v>
      </c>
      <c r="D192" s="1" t="s">
        <v>106</v>
      </c>
      <c r="E192" s="5" t="s">
        <v>107</v>
      </c>
      <c r="F192" s="5" t="s">
        <v>106</v>
      </c>
      <c r="G192" s="1" t="s">
        <v>106</v>
      </c>
      <c r="H192" s="1" t="s">
        <v>106</v>
      </c>
      <c r="I192" s="1" t="s">
        <v>106</v>
      </c>
      <c r="J192" s="1" t="s">
        <v>106</v>
      </c>
      <c r="K192" s="1" t="s">
        <v>28</v>
      </c>
      <c r="L192" s="1" t="s">
        <v>113</v>
      </c>
      <c r="M192" s="1" t="s">
        <v>110</v>
      </c>
      <c r="N192" s="1">
        <v>207126</v>
      </c>
      <c r="O192" s="1" t="s">
        <v>546</v>
      </c>
      <c r="P192" s="1">
        <v>170201</v>
      </c>
      <c r="Q192" s="6" t="s">
        <v>112</v>
      </c>
      <c r="R192" s="1" t="s">
        <v>113</v>
      </c>
      <c r="S192" s="7" t="str">
        <f>IF(J192="Não aplicável","N.A.",VLOOKUP(J192,'[1]Lista ONU'!$A$2:$D$2271,3))</f>
        <v>N.A.</v>
      </c>
      <c r="T192" s="7" t="str">
        <f>IF(J192="Não aplicável","N.A.",VLOOKUP(J192,'[1]Lista ONU'!$A$2:$D$2271,4))</f>
        <v>N.A.</v>
      </c>
    </row>
    <row r="193" spans="1:20" x14ac:dyDescent="0.25">
      <c r="A193" s="4" t="s">
        <v>542</v>
      </c>
      <c r="B193" s="1" t="s">
        <v>547</v>
      </c>
      <c r="C193" s="1" t="s">
        <v>95</v>
      </c>
      <c r="D193" s="1" t="s">
        <v>106</v>
      </c>
      <c r="E193" s="5" t="s">
        <v>228</v>
      </c>
      <c r="F193" s="5" t="s">
        <v>106</v>
      </c>
      <c r="G193" s="1" t="s">
        <v>106</v>
      </c>
      <c r="H193" s="1" t="s">
        <v>106</v>
      </c>
      <c r="I193" s="1" t="s">
        <v>106</v>
      </c>
      <c r="J193" s="1" t="s">
        <v>106</v>
      </c>
      <c r="K193" s="1" t="s">
        <v>28</v>
      </c>
      <c r="L193" s="1" t="s">
        <v>113</v>
      </c>
      <c r="M193" s="1" t="s">
        <v>110</v>
      </c>
      <c r="N193" s="1">
        <v>207266</v>
      </c>
      <c r="O193" s="1" t="s">
        <v>548</v>
      </c>
      <c r="P193" s="1">
        <v>170101</v>
      </c>
      <c r="Q193" s="6" t="s">
        <v>549</v>
      </c>
      <c r="R193" s="1" t="s">
        <v>113</v>
      </c>
      <c r="S193" s="7" t="str">
        <f>IF(J193="Não aplicável","N.A.",VLOOKUP(J193,'[1]Lista ONU'!$A$2:$D$2271,3))</f>
        <v>N.A.</v>
      </c>
      <c r="T193" s="7" t="str">
        <f>IF(J193="Não aplicável","N.A.",VLOOKUP(J193,'[1]Lista ONU'!$A$2:$D$2271,4))</f>
        <v>N.A.</v>
      </c>
    </row>
    <row r="194" spans="1:20" x14ac:dyDescent="0.25">
      <c r="A194" s="4" t="s">
        <v>542</v>
      </c>
      <c r="B194" s="1" t="s">
        <v>550</v>
      </c>
      <c r="C194" s="1" t="s">
        <v>22</v>
      </c>
      <c r="D194" s="1" t="s">
        <v>106</v>
      </c>
      <c r="E194" s="5" t="s">
        <v>107</v>
      </c>
      <c r="F194" s="5" t="s">
        <v>106</v>
      </c>
      <c r="G194" s="1" t="s">
        <v>106</v>
      </c>
      <c r="H194" s="1" t="s">
        <v>106</v>
      </c>
      <c r="I194" s="1" t="s">
        <v>106</v>
      </c>
      <c r="J194" s="1" t="s">
        <v>106</v>
      </c>
      <c r="K194" s="1" t="s">
        <v>28</v>
      </c>
      <c r="L194" s="1" t="s">
        <v>113</v>
      </c>
      <c r="M194" s="1" t="s">
        <v>110</v>
      </c>
      <c r="N194" s="1">
        <v>207134</v>
      </c>
      <c r="O194" s="1" t="s">
        <v>551</v>
      </c>
      <c r="P194" s="1">
        <v>170201</v>
      </c>
      <c r="Q194" s="6" t="s">
        <v>112</v>
      </c>
      <c r="R194" s="1" t="s">
        <v>113</v>
      </c>
      <c r="S194" s="7" t="str">
        <f>IF(J194="Não aplicável","N.A.",VLOOKUP(J194,'[1]Lista ONU'!$A$2:$D$2271,3))</f>
        <v>N.A.</v>
      </c>
      <c r="T194" s="7" t="str">
        <f>IF(J194="Não aplicável","N.A.",VLOOKUP(J194,'[1]Lista ONU'!$A$2:$D$2271,4))</f>
        <v>N.A.</v>
      </c>
    </row>
    <row r="195" spans="1:20" x14ac:dyDescent="0.25">
      <c r="A195" s="4" t="s">
        <v>128</v>
      </c>
      <c r="B195" s="1" t="s">
        <v>552</v>
      </c>
      <c r="C195" s="1" t="s">
        <v>22</v>
      </c>
      <c r="D195" s="1" t="s">
        <v>106</v>
      </c>
      <c r="E195" s="5" t="s">
        <v>228</v>
      </c>
      <c r="F195" s="5" t="s">
        <v>106</v>
      </c>
      <c r="G195" s="1" t="s">
        <v>229</v>
      </c>
      <c r="H195" s="1" t="s">
        <v>106</v>
      </c>
      <c r="I195" s="1" t="s">
        <v>106</v>
      </c>
      <c r="J195" s="1" t="s">
        <v>106</v>
      </c>
      <c r="K195" s="5" t="s">
        <v>28</v>
      </c>
      <c r="L195" s="1" t="s">
        <v>132</v>
      </c>
      <c r="M195" s="1" t="s">
        <v>110</v>
      </c>
      <c r="N195" s="1">
        <v>801897</v>
      </c>
      <c r="O195" s="1" t="s">
        <v>134</v>
      </c>
      <c r="P195" s="1">
        <v>150202</v>
      </c>
      <c r="Q195" s="6" t="s">
        <v>135</v>
      </c>
      <c r="R195" s="1" t="s">
        <v>32</v>
      </c>
      <c r="S195" s="7" t="str">
        <f>IF(J195="Não aplicável","N.A.",VLOOKUP(J195,'[1]Lista ONU'!$A$2:$D$2271,3))</f>
        <v>N.A.</v>
      </c>
      <c r="T195" s="7" t="str">
        <f>IF(J195="Não aplicável","N.A.",VLOOKUP(J195,'[1]Lista ONU'!$A$2:$D$2271,4))</f>
        <v>N.A.</v>
      </c>
    </row>
    <row r="196" spans="1:20" x14ac:dyDescent="0.25">
      <c r="A196" s="4" t="s">
        <v>20</v>
      </c>
      <c r="B196" s="1" t="s">
        <v>553</v>
      </c>
      <c r="C196" s="1" t="s">
        <v>22</v>
      </c>
      <c r="D196" s="1" t="s">
        <v>554</v>
      </c>
      <c r="E196" s="5" t="s">
        <v>24</v>
      </c>
      <c r="F196" s="5" t="s">
        <v>25</v>
      </c>
      <c r="G196" s="1" t="s">
        <v>26</v>
      </c>
      <c r="H196" s="5" t="s">
        <v>27</v>
      </c>
      <c r="I196" s="5">
        <v>33</v>
      </c>
      <c r="J196" s="5">
        <v>1223</v>
      </c>
      <c r="K196" s="5" t="s">
        <v>28</v>
      </c>
      <c r="L196" s="5" t="s">
        <v>194</v>
      </c>
      <c r="M196" s="5" t="s">
        <v>553</v>
      </c>
      <c r="N196" s="5">
        <v>801891</v>
      </c>
      <c r="O196" s="5" t="s">
        <v>555</v>
      </c>
      <c r="P196" s="1">
        <v>130703</v>
      </c>
      <c r="Q196" s="6" t="s">
        <v>363</v>
      </c>
      <c r="R196" s="1" t="s">
        <v>32</v>
      </c>
      <c r="S196" s="7">
        <f>IF(J196="Não aplicável","N.A.",VLOOKUP(J196,'[1]Lista ONU'!$A$2:$D$2271,3))</f>
        <v>1000</v>
      </c>
      <c r="T196" s="7" t="str">
        <f>IF(J196="Não aplicável","N.A.",VLOOKUP(J196,'[1]Lista ONU'!$A$2:$D$2271,4))</f>
        <v>5 L</v>
      </c>
    </row>
    <row r="197" spans="1:20" x14ac:dyDescent="0.25">
      <c r="A197" s="4" t="s">
        <v>20</v>
      </c>
      <c r="B197" s="1" t="s">
        <v>556</v>
      </c>
      <c r="C197" s="1" t="s">
        <v>22</v>
      </c>
      <c r="D197" s="1" t="s">
        <v>554</v>
      </c>
      <c r="E197" s="5" t="s">
        <v>24</v>
      </c>
      <c r="F197" s="5" t="s">
        <v>25</v>
      </c>
      <c r="G197" s="1" t="s">
        <v>26</v>
      </c>
      <c r="H197" s="5" t="s">
        <v>27</v>
      </c>
      <c r="I197" s="5">
        <v>33</v>
      </c>
      <c r="J197" s="5">
        <v>1863</v>
      </c>
      <c r="K197" s="5" t="s">
        <v>28</v>
      </c>
      <c r="L197" s="5" t="s">
        <v>194</v>
      </c>
      <c r="M197" s="5" t="s">
        <v>557</v>
      </c>
      <c r="N197" s="5">
        <v>801891</v>
      </c>
      <c r="O197" s="5" t="s">
        <v>555</v>
      </c>
      <c r="P197" s="1">
        <v>130703</v>
      </c>
      <c r="Q197" s="6" t="s">
        <v>363</v>
      </c>
      <c r="R197" s="1" t="s">
        <v>32</v>
      </c>
      <c r="S197" s="7">
        <f>IF(J197="Não aplicável","N.A.",VLOOKUP(J197,'[1]Lista ONU'!$A$2:$D$2271,3))</f>
        <v>20</v>
      </c>
      <c r="T197" s="7" t="str">
        <f>IF(J197="Não aplicável","N.A.",VLOOKUP(J197,'[1]Lista ONU'!$A$2:$D$2271,4))</f>
        <v>1 L</v>
      </c>
    </row>
    <row r="198" spans="1:20" x14ac:dyDescent="0.25">
      <c r="A198" s="4" t="s">
        <v>20</v>
      </c>
      <c r="B198" s="1" t="s">
        <v>558</v>
      </c>
      <c r="C198" s="1" t="s">
        <v>22</v>
      </c>
      <c r="D198" s="1" t="s">
        <v>342</v>
      </c>
      <c r="E198" s="5" t="s">
        <v>24</v>
      </c>
      <c r="F198" s="5" t="s">
        <v>559</v>
      </c>
      <c r="G198" s="1" t="s">
        <v>73</v>
      </c>
      <c r="H198" s="5" t="s">
        <v>27</v>
      </c>
      <c r="I198" s="5">
        <v>30</v>
      </c>
      <c r="J198" s="1">
        <v>1993</v>
      </c>
      <c r="K198" s="5" t="s">
        <v>28</v>
      </c>
      <c r="L198" s="1" t="s">
        <v>74</v>
      </c>
      <c r="M198" s="1" t="s">
        <v>75</v>
      </c>
      <c r="N198" s="1">
        <v>801910</v>
      </c>
      <c r="O198" s="1" t="s">
        <v>30</v>
      </c>
      <c r="P198" s="1">
        <v>70104</v>
      </c>
      <c r="Q198" s="6" t="s">
        <v>31</v>
      </c>
      <c r="R198" s="1" t="s">
        <v>32</v>
      </c>
      <c r="S198" s="7">
        <f>IF(J198="Não aplicável","N.A.",VLOOKUP(J198,'[1]Lista ONU'!$A$2:$D$2271,3))</f>
        <v>20</v>
      </c>
      <c r="T198" s="7" t="str">
        <f>IF(J198="Não aplicável","N.A.",VLOOKUP(J198,'[1]Lista ONU'!$A$2:$D$2271,4))</f>
        <v>1 L</v>
      </c>
    </row>
    <row r="199" spans="1:20" x14ac:dyDescent="0.25">
      <c r="A199" s="4" t="s">
        <v>20</v>
      </c>
      <c r="B199" s="1" t="s">
        <v>560</v>
      </c>
      <c r="C199" s="1" t="s">
        <v>22</v>
      </c>
      <c r="D199" s="1" t="s">
        <v>59</v>
      </c>
      <c r="E199" s="5" t="s">
        <v>24</v>
      </c>
      <c r="F199" s="5" t="s">
        <v>54</v>
      </c>
      <c r="G199" s="1" t="s">
        <v>73</v>
      </c>
      <c r="H199" s="5" t="s">
        <v>62</v>
      </c>
      <c r="I199" s="5">
        <v>90</v>
      </c>
      <c r="J199" s="5">
        <v>3432</v>
      </c>
      <c r="K199" s="5" t="s">
        <v>28</v>
      </c>
      <c r="L199" s="1" t="s">
        <v>243</v>
      </c>
      <c r="M199" s="1" t="s">
        <v>122</v>
      </c>
      <c r="N199" s="1">
        <v>801901</v>
      </c>
      <c r="O199" s="1" t="s">
        <v>244</v>
      </c>
      <c r="P199" s="1">
        <v>160209</v>
      </c>
      <c r="Q199" s="6" t="s">
        <v>245</v>
      </c>
      <c r="R199" s="1" t="s">
        <v>32</v>
      </c>
      <c r="S199" s="7" t="str">
        <f>IF(J199="Não aplicável","N.A.",VLOOKUP(J199,'[1]Lista ONU'!$A$2:$D$2271,3))</f>
        <v>ZERO</v>
      </c>
      <c r="T199" s="7" t="str">
        <f>IF(J199="Não aplicável","N.A.",VLOOKUP(J199,'[1]Lista ONU'!$A$2:$D$2271,4))</f>
        <v>1 kg</v>
      </c>
    </row>
    <row r="200" spans="1:20" x14ac:dyDescent="0.25">
      <c r="A200" s="4" t="s">
        <v>114</v>
      </c>
      <c r="B200" s="1" t="s">
        <v>561</v>
      </c>
      <c r="C200" s="1" t="s">
        <v>22</v>
      </c>
      <c r="D200" s="1" t="s">
        <v>106</v>
      </c>
      <c r="E200" s="5" t="s">
        <v>107</v>
      </c>
      <c r="F200" s="5" t="s">
        <v>25</v>
      </c>
      <c r="G200" s="1" t="s">
        <v>266</v>
      </c>
      <c r="H200" s="1" t="s">
        <v>106</v>
      </c>
      <c r="I200" s="1" t="s">
        <v>106</v>
      </c>
      <c r="J200" s="1" t="s">
        <v>106</v>
      </c>
      <c r="K200" s="5" t="s">
        <v>28</v>
      </c>
      <c r="L200" s="1" t="s">
        <v>109</v>
      </c>
      <c r="M200" s="1" t="s">
        <v>110</v>
      </c>
      <c r="N200" s="1">
        <v>256032</v>
      </c>
      <c r="O200" s="1" t="s">
        <v>562</v>
      </c>
      <c r="P200" s="1">
        <v>160215</v>
      </c>
      <c r="Q200" s="6" t="s">
        <v>563</v>
      </c>
      <c r="R200" s="1" t="s">
        <v>32</v>
      </c>
      <c r="S200" s="7" t="str">
        <f>IF(J200="Não aplicável","N.A.",VLOOKUP(J200,'[1]Lista ONU'!$A$2:$D$2271,3))</f>
        <v>N.A.</v>
      </c>
      <c r="T200" s="7" t="str">
        <f>IF(J200="Não aplicável","N.A.",VLOOKUP(J200,'[1]Lista ONU'!$A$2:$D$2271,4))</f>
        <v>N.A.</v>
      </c>
    </row>
    <row r="201" spans="1:20" x14ac:dyDescent="0.25">
      <c r="A201" s="4" t="s">
        <v>215</v>
      </c>
      <c r="B201" s="1" t="s">
        <v>564</v>
      </c>
      <c r="C201" s="1" t="s">
        <v>22</v>
      </c>
      <c r="D201" s="1" t="s">
        <v>106</v>
      </c>
      <c r="E201" s="5" t="s">
        <v>107</v>
      </c>
      <c r="F201" s="5" t="s">
        <v>25</v>
      </c>
      <c r="G201" s="1" t="s">
        <v>217</v>
      </c>
      <c r="H201" s="1" t="s">
        <v>106</v>
      </c>
      <c r="I201" s="1" t="s">
        <v>106</v>
      </c>
      <c r="J201" s="1" t="s">
        <v>106</v>
      </c>
      <c r="K201" s="5" t="s">
        <v>28</v>
      </c>
      <c r="L201" s="1" t="s">
        <v>109</v>
      </c>
      <c r="M201" s="1" t="s">
        <v>110</v>
      </c>
      <c r="N201" s="5" t="s">
        <v>110</v>
      </c>
      <c r="O201" s="1" t="s">
        <v>110</v>
      </c>
      <c r="P201" s="1" t="s">
        <v>110</v>
      </c>
      <c r="Q201" s="6" t="s">
        <v>110</v>
      </c>
      <c r="R201" s="1" t="s">
        <v>32</v>
      </c>
      <c r="S201" s="7" t="str">
        <f>IF(J201="Não aplicável","N.A.",VLOOKUP(J201,'[1]Lista ONU'!$A$2:$D$2271,3))</f>
        <v>N.A.</v>
      </c>
      <c r="T201" s="7" t="str">
        <f>IF(J201="Não aplicável","N.A.",VLOOKUP(J201,'[1]Lista ONU'!$A$2:$D$2271,4))</f>
        <v>N.A.</v>
      </c>
    </row>
    <row r="202" spans="1:20" x14ac:dyDescent="0.25">
      <c r="A202" s="4" t="s">
        <v>215</v>
      </c>
      <c r="B202" s="1" t="s">
        <v>565</v>
      </c>
      <c r="C202" s="1" t="s">
        <v>22</v>
      </c>
      <c r="D202" s="1" t="s">
        <v>106</v>
      </c>
      <c r="E202" s="5" t="s">
        <v>107</v>
      </c>
      <c r="F202" s="5" t="s">
        <v>25</v>
      </c>
      <c r="G202" s="1" t="s">
        <v>116</v>
      </c>
      <c r="H202" s="1" t="s">
        <v>106</v>
      </c>
      <c r="I202" s="1" t="s">
        <v>106</v>
      </c>
      <c r="J202" s="1" t="s">
        <v>106</v>
      </c>
      <c r="K202" s="5" t="s">
        <v>28</v>
      </c>
      <c r="L202" s="1" t="s">
        <v>566</v>
      </c>
      <c r="M202" s="1" t="s">
        <v>110</v>
      </c>
      <c r="N202" s="5" t="s">
        <v>110</v>
      </c>
      <c r="O202" s="1" t="s">
        <v>110</v>
      </c>
      <c r="P202" s="1" t="s">
        <v>110</v>
      </c>
      <c r="Q202" s="6" t="s">
        <v>110</v>
      </c>
      <c r="R202" s="1" t="s">
        <v>32</v>
      </c>
      <c r="S202" s="7" t="str">
        <f>IF(J202="Não aplicável","N.A.",VLOOKUP(J202,'[1]Lista ONU'!$A$2:$D$2271,3))</f>
        <v>N.A.</v>
      </c>
      <c r="T202" s="7" t="str">
        <f>IF(J202="Não aplicável","N.A.",VLOOKUP(J202,'[1]Lista ONU'!$A$2:$D$2271,4))</f>
        <v>N.A.</v>
      </c>
    </row>
    <row r="203" spans="1:20" x14ac:dyDescent="0.25">
      <c r="A203" s="4" t="s">
        <v>20</v>
      </c>
      <c r="B203" s="1" t="s">
        <v>567</v>
      </c>
      <c r="C203" s="1" t="s">
        <v>22</v>
      </c>
      <c r="D203" s="1" t="s">
        <v>568</v>
      </c>
      <c r="E203" s="5" t="s">
        <v>24</v>
      </c>
      <c r="F203" s="5" t="s">
        <v>25</v>
      </c>
      <c r="G203" s="1" t="s">
        <v>26</v>
      </c>
      <c r="H203" s="5" t="s">
        <v>27</v>
      </c>
      <c r="I203" s="5">
        <v>33</v>
      </c>
      <c r="J203" s="5">
        <v>1208</v>
      </c>
      <c r="K203" s="5" t="s">
        <v>28</v>
      </c>
      <c r="L203" s="5" t="s">
        <v>29</v>
      </c>
      <c r="M203" s="5" t="s">
        <v>569</v>
      </c>
      <c r="N203" s="5">
        <v>801910</v>
      </c>
      <c r="O203" s="5" t="s">
        <v>30</v>
      </c>
      <c r="P203" s="1">
        <v>70104</v>
      </c>
      <c r="Q203" s="6" t="s">
        <v>31</v>
      </c>
      <c r="R203" s="1" t="s">
        <v>32</v>
      </c>
      <c r="S203" s="7">
        <f>IF(J203="Não aplicável","N.A.",VLOOKUP(J203,'[1]Lista ONU'!$A$2:$D$2271,3))</f>
        <v>333</v>
      </c>
      <c r="T203" s="7" t="str">
        <f>IF(J203="Não aplicável","N.A.",VLOOKUP(J203,'[1]Lista ONU'!$A$2:$D$2271,4))</f>
        <v>1 L</v>
      </c>
    </row>
    <row r="204" spans="1:20" x14ac:dyDescent="0.25">
      <c r="A204" s="4" t="s">
        <v>20</v>
      </c>
      <c r="B204" s="1" t="s">
        <v>570</v>
      </c>
      <c r="C204" s="1" t="s">
        <v>22</v>
      </c>
      <c r="D204" s="1" t="s">
        <v>571</v>
      </c>
      <c r="E204" s="5" t="s">
        <v>24</v>
      </c>
      <c r="F204" s="5" t="s">
        <v>25</v>
      </c>
      <c r="G204" s="1" t="s">
        <v>26</v>
      </c>
      <c r="H204" s="5" t="s">
        <v>37</v>
      </c>
      <c r="I204" s="5">
        <v>80</v>
      </c>
      <c r="J204" s="5">
        <v>1814</v>
      </c>
      <c r="K204" s="5" t="s">
        <v>28</v>
      </c>
      <c r="L204" s="5" t="s">
        <v>461</v>
      </c>
      <c r="M204" s="5" t="s">
        <v>572</v>
      </c>
      <c r="N204" s="5">
        <v>909333</v>
      </c>
      <c r="O204" s="5" t="s">
        <v>573</v>
      </c>
      <c r="P204" s="1" t="s">
        <v>110</v>
      </c>
      <c r="Q204" s="6" t="s">
        <v>110</v>
      </c>
      <c r="R204" s="1" t="s">
        <v>32</v>
      </c>
      <c r="S204" s="7">
        <f>IF(J204="Não aplicável","N.A.",VLOOKUP(J204,'[1]Lista ONU'!$A$2:$D$2271,3))</f>
        <v>333</v>
      </c>
      <c r="T204" s="7" t="str">
        <f>IF(J204="Não aplicável","N.A.",VLOOKUP(J204,'[1]Lista ONU'!$A$2:$D$2271,4))</f>
        <v>1 L</v>
      </c>
    </row>
    <row r="205" spans="1:20" x14ac:dyDescent="0.25">
      <c r="A205" s="4" t="s">
        <v>20</v>
      </c>
      <c r="B205" s="1" t="s">
        <v>574</v>
      </c>
      <c r="C205" s="1" t="s">
        <v>22</v>
      </c>
      <c r="D205" s="1" t="s">
        <v>571</v>
      </c>
      <c r="E205" s="5" t="s">
        <v>24</v>
      </c>
      <c r="F205" s="5" t="s">
        <v>25</v>
      </c>
      <c r="G205" s="1" t="s">
        <v>26</v>
      </c>
      <c r="H205" s="5" t="s">
        <v>37</v>
      </c>
      <c r="I205" s="5">
        <v>80</v>
      </c>
      <c r="J205" s="5">
        <v>1813</v>
      </c>
      <c r="K205" s="5" t="s">
        <v>28</v>
      </c>
      <c r="L205" s="5" t="s">
        <v>461</v>
      </c>
      <c r="M205" s="5" t="s">
        <v>575</v>
      </c>
      <c r="N205" s="5">
        <v>909333</v>
      </c>
      <c r="O205" s="5" t="s">
        <v>573</v>
      </c>
      <c r="P205" s="1" t="s">
        <v>110</v>
      </c>
      <c r="Q205" s="6" t="s">
        <v>110</v>
      </c>
      <c r="R205" s="1" t="s">
        <v>32</v>
      </c>
      <c r="S205" s="7">
        <f>IF(J205="Não aplicável","N.A.",VLOOKUP(J205,'[1]Lista ONU'!$A$2:$D$2271,3))</f>
        <v>333</v>
      </c>
      <c r="T205" s="7" t="str">
        <f>IF(J205="Não aplicável","N.A.",VLOOKUP(J205,'[1]Lista ONU'!$A$2:$D$2271,4))</f>
        <v>1 kg</v>
      </c>
    </row>
    <row r="206" spans="1:20" x14ac:dyDescent="0.25">
      <c r="A206" s="4" t="s">
        <v>20</v>
      </c>
      <c r="B206" s="1" t="s">
        <v>576</v>
      </c>
      <c r="C206" s="1" t="s">
        <v>22</v>
      </c>
      <c r="D206" s="1" t="s">
        <v>577</v>
      </c>
      <c r="E206" s="5" t="s">
        <v>24</v>
      </c>
      <c r="F206" s="5" t="s">
        <v>25</v>
      </c>
      <c r="G206" s="1" t="s">
        <v>26</v>
      </c>
      <c r="H206" s="5" t="s">
        <v>37</v>
      </c>
      <c r="I206" s="5">
        <v>80</v>
      </c>
      <c r="J206" s="5">
        <v>1761</v>
      </c>
      <c r="K206" s="5" t="s">
        <v>28</v>
      </c>
      <c r="L206" s="5" t="s">
        <v>29</v>
      </c>
      <c r="M206" s="5" t="s">
        <v>578</v>
      </c>
      <c r="N206" s="5">
        <v>910140</v>
      </c>
      <c r="O206" s="5" t="s">
        <v>579</v>
      </c>
      <c r="P206" s="1" t="s">
        <v>110</v>
      </c>
      <c r="Q206" s="6" t="s">
        <v>110</v>
      </c>
      <c r="R206" s="1" t="s">
        <v>32</v>
      </c>
      <c r="S206" s="7">
        <f>IF(J206="Não aplicável","N.A.",VLOOKUP(J206,'[1]Lista ONU'!$A$2:$D$2271,3))</f>
        <v>333</v>
      </c>
      <c r="T206" s="7" t="str">
        <f>IF(J206="Não aplicável","N.A.",VLOOKUP(J206,'[1]Lista ONU'!$A$2:$D$2271,4))</f>
        <v>1 L</v>
      </c>
    </row>
    <row r="207" spans="1:20" x14ac:dyDescent="0.25">
      <c r="A207" s="4" t="s">
        <v>56</v>
      </c>
      <c r="B207" s="1" t="s">
        <v>580</v>
      </c>
      <c r="C207" s="1" t="s">
        <v>22</v>
      </c>
      <c r="D207" s="1"/>
      <c r="E207" s="5" t="s">
        <v>24</v>
      </c>
      <c r="F207" s="5"/>
      <c r="G207" s="1" t="s">
        <v>73</v>
      </c>
      <c r="H207" s="5" t="s">
        <v>62</v>
      </c>
      <c r="I207" s="5">
        <v>90</v>
      </c>
      <c r="J207" s="5">
        <v>3082</v>
      </c>
      <c r="K207" s="5" t="s">
        <v>28</v>
      </c>
      <c r="L207" s="1" t="s">
        <v>581</v>
      </c>
      <c r="M207" s="1" t="s">
        <v>133</v>
      </c>
      <c r="N207" s="1" t="s">
        <v>582</v>
      </c>
      <c r="O207" s="1"/>
      <c r="P207" s="1"/>
      <c r="Q207" s="6" t="s">
        <v>583</v>
      </c>
      <c r="R207" s="1" t="s">
        <v>32</v>
      </c>
      <c r="S207" s="7">
        <f>IF(J207="Não aplicável","N.A.",VLOOKUP(J207,'[1]Lista ONU'!$A$2:$D$2271,3))</f>
        <v>1000</v>
      </c>
      <c r="T207" s="7" t="str">
        <f>IF(J207="Não aplicável","N.A.",VLOOKUP(J207,'[1]Lista ONU'!$A$2:$D$2271,4))</f>
        <v>5 L</v>
      </c>
    </row>
    <row r="208" spans="1:20" x14ac:dyDescent="0.25">
      <c r="A208" s="4" t="s">
        <v>56</v>
      </c>
      <c r="B208" s="1" t="s">
        <v>584</v>
      </c>
      <c r="C208" s="1" t="s">
        <v>22</v>
      </c>
      <c r="D208" s="1" t="s">
        <v>59</v>
      </c>
      <c r="E208" s="5" t="s">
        <v>24</v>
      </c>
      <c r="F208" s="5" t="s">
        <v>60</v>
      </c>
      <c r="G208" s="1" t="s">
        <v>73</v>
      </c>
      <c r="H208" s="5" t="s">
        <v>62</v>
      </c>
      <c r="I208" s="5">
        <v>90</v>
      </c>
      <c r="J208" s="5">
        <v>3082</v>
      </c>
      <c r="K208" s="5" t="s">
        <v>28</v>
      </c>
      <c r="L208" s="1" t="s">
        <v>132</v>
      </c>
      <c r="M208" s="1" t="s">
        <v>133</v>
      </c>
      <c r="N208" s="1">
        <v>801894</v>
      </c>
      <c r="O208" s="1" t="s">
        <v>213</v>
      </c>
      <c r="P208" s="3">
        <v>130507</v>
      </c>
      <c r="Q208" s="6" t="s">
        <v>585</v>
      </c>
      <c r="R208" s="1" t="s">
        <v>32</v>
      </c>
      <c r="S208" s="7">
        <f>IF(J208="Não aplicável","N.A.",VLOOKUP(J208,'[1]Lista ONU'!$A$2:$D$2271,3))</f>
        <v>1000</v>
      </c>
      <c r="T208" s="7" t="str">
        <f>IF(J208="Não aplicável","N.A.",VLOOKUP(J208,'[1]Lista ONU'!$A$2:$D$2271,4))</f>
        <v>5 L</v>
      </c>
    </row>
    <row r="209" spans="1:20" x14ac:dyDescent="0.25">
      <c r="A209" s="4" t="s">
        <v>56</v>
      </c>
      <c r="B209" s="1" t="s">
        <v>586</v>
      </c>
      <c r="C209" s="1" t="s">
        <v>22</v>
      </c>
      <c r="D209" s="1" t="s">
        <v>587</v>
      </c>
      <c r="E209" s="5" t="s">
        <v>24</v>
      </c>
      <c r="F209" s="5" t="s">
        <v>60</v>
      </c>
      <c r="G209" s="1" t="s">
        <v>73</v>
      </c>
      <c r="H209" s="5" t="s">
        <v>62</v>
      </c>
      <c r="I209" s="5">
        <v>90</v>
      </c>
      <c r="J209" s="5">
        <v>3082</v>
      </c>
      <c r="K209" s="5" t="s">
        <v>28</v>
      </c>
      <c r="L209" s="1" t="s">
        <v>132</v>
      </c>
      <c r="M209" s="1" t="s">
        <v>64</v>
      </c>
      <c r="N209" s="1">
        <v>801908</v>
      </c>
      <c r="O209" s="1" t="s">
        <v>66</v>
      </c>
      <c r="P209" s="1">
        <v>130802</v>
      </c>
      <c r="Q209" s="6" t="s">
        <v>69</v>
      </c>
      <c r="R209" s="1" t="s">
        <v>32</v>
      </c>
      <c r="S209" s="7">
        <f>IF(J209="Não aplicável","N.A.",VLOOKUP(J209,'[1]Lista ONU'!$A$2:$D$2271,3))</f>
        <v>1000</v>
      </c>
      <c r="T209" s="7" t="str">
        <f>IF(J209="Não aplicável","N.A.",VLOOKUP(J209,'[1]Lista ONU'!$A$2:$D$2271,4))</f>
        <v>5 L</v>
      </c>
    </row>
    <row r="210" spans="1:20" x14ac:dyDescent="0.25">
      <c r="A210" s="4" t="s">
        <v>20</v>
      </c>
      <c r="B210" s="1" t="s">
        <v>588</v>
      </c>
      <c r="C210" s="1" t="s">
        <v>22</v>
      </c>
      <c r="D210" s="1" t="s">
        <v>589</v>
      </c>
      <c r="E210" s="5" t="s">
        <v>24</v>
      </c>
      <c r="F210" s="5" t="s">
        <v>25</v>
      </c>
      <c r="G210" s="1" t="s">
        <v>26</v>
      </c>
      <c r="H210" s="5" t="s">
        <v>27</v>
      </c>
      <c r="I210" s="5">
        <v>336</v>
      </c>
      <c r="J210" s="5">
        <v>1230</v>
      </c>
      <c r="K210" s="5" t="s">
        <v>28</v>
      </c>
      <c r="L210" s="5" t="s">
        <v>590</v>
      </c>
      <c r="M210" s="5" t="s">
        <v>591</v>
      </c>
      <c r="N210" s="5">
        <v>801910</v>
      </c>
      <c r="O210" s="5" t="s">
        <v>30</v>
      </c>
      <c r="P210" s="1">
        <v>70104</v>
      </c>
      <c r="Q210" s="6" t="s">
        <v>31</v>
      </c>
      <c r="R210" s="1" t="s">
        <v>32</v>
      </c>
      <c r="S210" s="7">
        <f>IF(J210="Não aplicável","N.A.",VLOOKUP(J210,'[1]Lista ONU'!$A$2:$D$2271,3))</f>
        <v>333</v>
      </c>
      <c r="T210" s="7" t="str">
        <f>IF(J210="Não aplicável","N.A.",VLOOKUP(J210,'[1]Lista ONU'!$A$2:$D$2271,4))</f>
        <v>1 L</v>
      </c>
    </row>
    <row r="211" spans="1:20" x14ac:dyDescent="0.25">
      <c r="A211" s="4" t="s">
        <v>20</v>
      </c>
      <c r="B211" s="1" t="s">
        <v>592</v>
      </c>
      <c r="C211" s="1" t="s">
        <v>22</v>
      </c>
      <c r="D211" s="1" t="s">
        <v>568</v>
      </c>
      <c r="E211" s="5" t="s">
        <v>24</v>
      </c>
      <c r="F211" s="5" t="s">
        <v>25</v>
      </c>
      <c r="G211" s="1" t="s">
        <v>26</v>
      </c>
      <c r="H211" s="5" t="s">
        <v>27</v>
      </c>
      <c r="I211" s="5">
        <v>33</v>
      </c>
      <c r="J211" s="5">
        <v>1263</v>
      </c>
      <c r="K211" s="5" t="s">
        <v>28</v>
      </c>
      <c r="L211" s="1" t="s">
        <v>43</v>
      </c>
      <c r="M211" s="5" t="s">
        <v>593</v>
      </c>
      <c r="N211" s="1">
        <v>801896</v>
      </c>
      <c r="O211" s="1" t="s">
        <v>406</v>
      </c>
      <c r="P211" s="1">
        <v>170204</v>
      </c>
      <c r="Q211" s="6" t="s">
        <v>103</v>
      </c>
      <c r="R211" s="1" t="s">
        <v>32</v>
      </c>
      <c r="S211" s="7">
        <f>IF(J211="Não aplicável","N.A.",VLOOKUP(J211,'[1]Lista ONU'!$A$2:$D$2271,3))</f>
        <v>20</v>
      </c>
      <c r="T211" s="7" t="str">
        <f>IF(J211="Não aplicável","N.A.",VLOOKUP(J211,'[1]Lista ONU'!$A$2:$D$2271,4))</f>
        <v>5 L</v>
      </c>
    </row>
    <row r="212" spans="1:20" x14ac:dyDescent="0.25">
      <c r="A212" s="4" t="s">
        <v>56</v>
      </c>
      <c r="B212" s="1" t="s">
        <v>594</v>
      </c>
      <c r="C212" s="1" t="s">
        <v>22</v>
      </c>
      <c r="D212" s="1" t="s">
        <v>59</v>
      </c>
      <c r="E212" s="5" t="s">
        <v>24</v>
      </c>
      <c r="F212" s="5" t="s">
        <v>60</v>
      </c>
      <c r="G212" s="1" t="s">
        <v>73</v>
      </c>
      <c r="H212" s="5" t="s">
        <v>62</v>
      </c>
      <c r="I212" s="5">
        <v>90</v>
      </c>
      <c r="J212" s="5">
        <v>3077</v>
      </c>
      <c r="K212" s="5" t="s">
        <v>28</v>
      </c>
      <c r="L212" s="1" t="s">
        <v>132</v>
      </c>
      <c r="M212" s="1" t="s">
        <v>133</v>
      </c>
      <c r="N212" s="1">
        <v>801894</v>
      </c>
      <c r="O212" s="1" t="s">
        <v>213</v>
      </c>
      <c r="P212" s="3">
        <v>130899</v>
      </c>
      <c r="Q212" s="6" t="s">
        <v>356</v>
      </c>
      <c r="R212" s="1" t="s">
        <v>32</v>
      </c>
      <c r="S212" s="7">
        <f>IF(J212="Não aplicável","N.A.",VLOOKUP(J212,'[1]Lista ONU'!$A$2:$D$2271,3))</f>
        <v>1000</v>
      </c>
      <c r="T212" s="7" t="str">
        <f>IF(J212="Não aplicável","N.A.",VLOOKUP(J212,'[1]Lista ONU'!$A$2:$D$2271,4))</f>
        <v>5 kg</v>
      </c>
    </row>
    <row r="213" spans="1:20" x14ac:dyDescent="0.25">
      <c r="A213" s="4" t="s">
        <v>56</v>
      </c>
      <c r="B213" s="1" t="s">
        <v>595</v>
      </c>
      <c r="C213" s="1" t="s">
        <v>22</v>
      </c>
      <c r="D213" s="1" t="s">
        <v>59</v>
      </c>
      <c r="E213" s="5" t="s">
        <v>24</v>
      </c>
      <c r="F213" s="5" t="s">
        <v>54</v>
      </c>
      <c r="G213" s="1" t="s">
        <v>73</v>
      </c>
      <c r="H213" s="5" t="s">
        <v>62</v>
      </c>
      <c r="I213" s="5">
        <v>90</v>
      </c>
      <c r="J213" s="5">
        <v>3432</v>
      </c>
      <c r="K213" s="5" t="s">
        <v>28</v>
      </c>
      <c r="L213" s="1" t="s">
        <v>43</v>
      </c>
      <c r="M213" s="1" t="s">
        <v>122</v>
      </c>
      <c r="N213" s="1">
        <v>801902</v>
      </c>
      <c r="O213" s="1" t="s">
        <v>307</v>
      </c>
      <c r="P213" s="1">
        <v>170502</v>
      </c>
      <c r="Q213" s="6" t="s">
        <v>124</v>
      </c>
      <c r="R213" s="1" t="s">
        <v>32</v>
      </c>
      <c r="S213" s="7" t="str">
        <f>IF(J213="Não aplicável","N.A.",VLOOKUP(J213,'[1]Lista ONU'!$A$2:$D$2271,3))</f>
        <v>ZERO</v>
      </c>
      <c r="T213" s="7" t="str">
        <f>IF(J213="Não aplicável","N.A.",VLOOKUP(J213,'[1]Lista ONU'!$A$2:$D$2271,4))</f>
        <v>1 kg</v>
      </c>
    </row>
    <row r="214" spans="1:20" x14ac:dyDescent="0.25">
      <c r="A214" s="4" t="s">
        <v>56</v>
      </c>
      <c r="B214" s="1" t="s">
        <v>596</v>
      </c>
      <c r="C214" s="1" t="s">
        <v>22</v>
      </c>
      <c r="D214" s="1" t="s">
        <v>106</v>
      </c>
      <c r="E214" s="5" t="s">
        <v>107</v>
      </c>
      <c r="F214" s="5" t="s">
        <v>60</v>
      </c>
      <c r="G214" s="1" t="s">
        <v>116</v>
      </c>
      <c r="H214" s="1" t="s">
        <v>106</v>
      </c>
      <c r="I214" s="1" t="s">
        <v>106</v>
      </c>
      <c r="J214" s="1" t="s">
        <v>106</v>
      </c>
      <c r="K214" s="5" t="s">
        <v>322</v>
      </c>
      <c r="L214" s="1" t="s">
        <v>420</v>
      </c>
      <c r="M214" s="1" t="s">
        <v>110</v>
      </c>
      <c r="N214" s="1">
        <v>801938</v>
      </c>
      <c r="O214" s="1" t="s">
        <v>423</v>
      </c>
      <c r="P214" s="1">
        <v>200108</v>
      </c>
      <c r="Q214" s="6" t="s">
        <v>424</v>
      </c>
      <c r="R214" s="1" t="s">
        <v>32</v>
      </c>
      <c r="S214" s="7" t="str">
        <f>IF(J214="Não aplicável","N.A.",VLOOKUP(J214,'[1]Lista ONU'!$A$2:$D$2271,3))</f>
        <v>N.A.</v>
      </c>
      <c r="T214" s="7" t="str">
        <f>IF(J214="Não aplicável","N.A.",VLOOKUP(J214,'[1]Lista ONU'!$A$2:$D$2271,4))</f>
        <v>N.A.</v>
      </c>
    </row>
    <row r="215" spans="1:20" x14ac:dyDescent="0.25">
      <c r="A215" s="4" t="s">
        <v>104</v>
      </c>
      <c r="B215" s="1" t="s">
        <v>597</v>
      </c>
      <c r="C215" s="1" t="s">
        <v>22</v>
      </c>
      <c r="D215" s="1" t="s">
        <v>106</v>
      </c>
      <c r="E215" s="5" t="s">
        <v>107</v>
      </c>
      <c r="F215" s="5" t="s">
        <v>87</v>
      </c>
      <c r="G215" s="1" t="s">
        <v>108</v>
      </c>
      <c r="H215" s="1" t="s">
        <v>106</v>
      </c>
      <c r="I215" s="1" t="s">
        <v>106</v>
      </c>
      <c r="J215" s="1" t="s">
        <v>106</v>
      </c>
      <c r="K215" s="5" t="s">
        <v>28</v>
      </c>
      <c r="L215" s="1" t="s">
        <v>461</v>
      </c>
      <c r="M215" s="1" t="s">
        <v>110</v>
      </c>
      <c r="N215" s="1">
        <v>378362</v>
      </c>
      <c r="O215" s="1" t="s">
        <v>111</v>
      </c>
      <c r="P215" s="1">
        <v>170201</v>
      </c>
      <c r="Q215" s="6" t="s">
        <v>112</v>
      </c>
      <c r="R215" s="1" t="s">
        <v>113</v>
      </c>
      <c r="S215" s="7" t="str">
        <f>IF(J215="Não aplicável","N.A.",VLOOKUP(J215,'[1]Lista ONU'!$A$2:$D$2271,3))</f>
        <v>N.A.</v>
      </c>
      <c r="T215" s="7" t="str">
        <f>IF(J215="Não aplicável","N.A.",VLOOKUP(J215,'[1]Lista ONU'!$A$2:$D$2271,4))</f>
        <v>N.A.</v>
      </c>
    </row>
    <row r="216" spans="1:20" x14ac:dyDescent="0.25">
      <c r="A216" s="4" t="s">
        <v>247</v>
      </c>
      <c r="B216" s="1" t="s">
        <v>598</v>
      </c>
      <c r="C216" s="1" t="s">
        <v>22</v>
      </c>
      <c r="D216" s="1" t="s">
        <v>106</v>
      </c>
      <c r="E216" s="5" t="s">
        <v>24</v>
      </c>
      <c r="F216" s="5" t="s">
        <v>360</v>
      </c>
      <c r="G216" s="1" t="s">
        <v>88</v>
      </c>
      <c r="H216" s="5" t="s">
        <v>62</v>
      </c>
      <c r="I216" s="5">
        <v>90</v>
      </c>
      <c r="J216" s="5">
        <v>3077</v>
      </c>
      <c r="K216" s="5" t="s">
        <v>28</v>
      </c>
      <c r="L216" s="1" t="s">
        <v>599</v>
      </c>
      <c r="M216" s="1" t="s">
        <v>133</v>
      </c>
      <c r="N216" s="1">
        <v>119008</v>
      </c>
      <c r="O216" s="1" t="s">
        <v>600</v>
      </c>
      <c r="P216" s="1">
        <v>160214</v>
      </c>
      <c r="Q216" s="6" t="s">
        <v>251</v>
      </c>
      <c r="R216" s="1" t="s">
        <v>32</v>
      </c>
      <c r="S216" s="7">
        <f>IF(J216="Não aplicável","N.A.",VLOOKUP(J216,'[1]Lista ONU'!$A$2:$D$2271,3))</f>
        <v>1000</v>
      </c>
      <c r="T216" s="7" t="str">
        <f>IF(J216="Não aplicável","N.A.",VLOOKUP(J216,'[1]Lista ONU'!$A$2:$D$2271,4))</f>
        <v>5 kg</v>
      </c>
    </row>
    <row r="217" spans="1:20" x14ac:dyDescent="0.25">
      <c r="A217" s="4" t="s">
        <v>128</v>
      </c>
      <c r="B217" s="1" t="s">
        <v>601</v>
      </c>
      <c r="C217" s="1" t="s">
        <v>22</v>
      </c>
      <c r="D217" s="1" t="s">
        <v>106</v>
      </c>
      <c r="E217" s="5" t="s">
        <v>228</v>
      </c>
      <c r="F217" s="5" t="s">
        <v>106</v>
      </c>
      <c r="G217" s="1" t="s">
        <v>229</v>
      </c>
      <c r="H217" s="1" t="s">
        <v>106</v>
      </c>
      <c r="I217" s="1" t="s">
        <v>106</v>
      </c>
      <c r="J217" s="1" t="s">
        <v>106</v>
      </c>
      <c r="K217" s="5" t="s">
        <v>28</v>
      </c>
      <c r="L217" s="1" t="s">
        <v>132</v>
      </c>
      <c r="M217" s="1" t="s">
        <v>110</v>
      </c>
      <c r="N217" s="1">
        <v>801897</v>
      </c>
      <c r="O217" s="1" t="s">
        <v>134</v>
      </c>
      <c r="P217" s="1">
        <v>150202</v>
      </c>
      <c r="Q217" s="6" t="s">
        <v>135</v>
      </c>
      <c r="R217" s="1" t="s">
        <v>32</v>
      </c>
      <c r="S217" s="7" t="str">
        <f>IF(J217="Não aplicável","N.A.",VLOOKUP(J217,'[1]Lista ONU'!$A$2:$D$2271,3))</f>
        <v>N.A.</v>
      </c>
      <c r="T217" s="7" t="str">
        <f>IF(J217="Não aplicável","N.A.",VLOOKUP(J217,'[1]Lista ONU'!$A$2:$D$2271,4))</f>
        <v>N.A.</v>
      </c>
    </row>
    <row r="218" spans="1:20" x14ac:dyDescent="0.25">
      <c r="A218" s="4" t="s">
        <v>20</v>
      </c>
      <c r="B218" s="1" t="s">
        <v>602</v>
      </c>
      <c r="C218" s="1" t="s">
        <v>22</v>
      </c>
      <c r="D218" s="1" t="s">
        <v>106</v>
      </c>
      <c r="E218" s="5" t="s">
        <v>228</v>
      </c>
      <c r="F218" s="5" t="s">
        <v>25</v>
      </c>
      <c r="G218" s="1" t="s">
        <v>198</v>
      </c>
      <c r="H218" s="1" t="s">
        <v>106</v>
      </c>
      <c r="I218" s="1" t="s">
        <v>106</v>
      </c>
      <c r="J218" s="1" t="s">
        <v>106</v>
      </c>
      <c r="K218" s="5" t="s">
        <v>28</v>
      </c>
      <c r="L218" s="1" t="s">
        <v>109</v>
      </c>
      <c r="M218" s="1" t="s">
        <v>110</v>
      </c>
      <c r="N218" s="1">
        <v>801899</v>
      </c>
      <c r="O218" s="1" t="s">
        <v>603</v>
      </c>
      <c r="P218" s="1">
        <v>160216</v>
      </c>
      <c r="Q218" s="6" t="s">
        <v>119</v>
      </c>
      <c r="R218" s="1" t="s">
        <v>32</v>
      </c>
      <c r="S218" s="7" t="str">
        <f>IF(J218="Não aplicável","N.A.",VLOOKUP(J218,'[1]Lista ONU'!$A$2:$D$2271,3))</f>
        <v>N.A.</v>
      </c>
      <c r="T218" s="7" t="str">
        <f>IF(J218="Não aplicável","N.A.",VLOOKUP(J218,'[1]Lista ONU'!$A$2:$D$2271,4))</f>
        <v>N.A.</v>
      </c>
    </row>
    <row r="219" spans="1:20" x14ac:dyDescent="0.25">
      <c r="A219" s="4" t="s">
        <v>20</v>
      </c>
      <c r="B219" s="1" t="s">
        <v>604</v>
      </c>
      <c r="C219" s="1" t="s">
        <v>22</v>
      </c>
      <c r="D219" s="1" t="s">
        <v>106</v>
      </c>
      <c r="E219" s="5" t="s">
        <v>24</v>
      </c>
      <c r="F219" s="5" t="s">
        <v>25</v>
      </c>
      <c r="G219" s="1" t="s">
        <v>355</v>
      </c>
      <c r="H219" s="5" t="s">
        <v>62</v>
      </c>
      <c r="I219" s="1">
        <v>90</v>
      </c>
      <c r="J219" s="1">
        <v>3077</v>
      </c>
      <c r="K219" s="5" t="s">
        <v>28</v>
      </c>
      <c r="L219" s="1" t="s">
        <v>109</v>
      </c>
      <c r="M219" s="1" t="s">
        <v>133</v>
      </c>
      <c r="N219" s="1">
        <v>801895</v>
      </c>
      <c r="O219" s="1" t="s">
        <v>605</v>
      </c>
      <c r="P219" s="1">
        <v>160213</v>
      </c>
      <c r="Q219" s="6" t="s">
        <v>434</v>
      </c>
      <c r="R219" s="1" t="s">
        <v>32</v>
      </c>
      <c r="S219" s="7">
        <f>IF(J219="Não aplicável","N.A.",VLOOKUP(J219,'[1]Lista ONU'!$A$2:$D$2271,3))</f>
        <v>1000</v>
      </c>
      <c r="T219" s="7" t="str">
        <f>IF(J219="Não aplicável","N.A.",VLOOKUP(J219,'[1]Lista ONU'!$A$2:$D$2271,4))</f>
        <v>5 kg</v>
      </c>
    </row>
    <row r="220" spans="1:20" x14ac:dyDescent="0.25">
      <c r="A220" s="4" t="s">
        <v>20</v>
      </c>
      <c r="B220" s="1" t="s">
        <v>606</v>
      </c>
      <c r="C220" s="1" t="s">
        <v>22</v>
      </c>
      <c r="D220" s="1" t="s">
        <v>106</v>
      </c>
      <c r="E220" s="5" t="s">
        <v>228</v>
      </c>
      <c r="F220" s="5" t="s">
        <v>106</v>
      </c>
      <c r="G220" s="1" t="s">
        <v>607</v>
      </c>
      <c r="H220" s="1" t="s">
        <v>106</v>
      </c>
      <c r="I220" s="1" t="s">
        <v>106</v>
      </c>
      <c r="J220" s="1" t="s">
        <v>106</v>
      </c>
      <c r="K220" s="5" t="s">
        <v>28</v>
      </c>
      <c r="L220" s="1" t="s">
        <v>132</v>
      </c>
      <c r="M220" s="1" t="s">
        <v>110</v>
      </c>
      <c r="N220" s="1">
        <v>801899</v>
      </c>
      <c r="O220" s="1" t="s">
        <v>603</v>
      </c>
      <c r="P220" s="1">
        <v>160216</v>
      </c>
      <c r="Q220" s="6" t="s">
        <v>119</v>
      </c>
      <c r="R220" s="1" t="s">
        <v>32</v>
      </c>
      <c r="S220" s="7" t="str">
        <f>IF(J220="Não aplicável","N.A.",VLOOKUP(J220,'[1]Lista ONU'!$A$2:$D$2271,3))</f>
        <v>N.A.</v>
      </c>
      <c r="T220" s="7" t="str">
        <f>IF(J220="Não aplicável","N.A.",VLOOKUP(J220,'[1]Lista ONU'!$A$2:$D$2271,4))</f>
        <v>N.A.</v>
      </c>
    </row>
    <row r="221" spans="1:20" x14ac:dyDescent="0.25">
      <c r="A221" s="4" t="s">
        <v>20</v>
      </c>
      <c r="B221" s="1" t="s">
        <v>608</v>
      </c>
      <c r="C221" s="1" t="s">
        <v>22</v>
      </c>
      <c r="D221" s="1" t="s">
        <v>106</v>
      </c>
      <c r="E221" s="5" t="s">
        <v>228</v>
      </c>
      <c r="F221" s="5" t="s">
        <v>106</v>
      </c>
      <c r="G221" s="1" t="s">
        <v>607</v>
      </c>
      <c r="H221" s="5" t="s">
        <v>106</v>
      </c>
      <c r="I221" s="1" t="s">
        <v>106</v>
      </c>
      <c r="J221" s="1" t="s">
        <v>106</v>
      </c>
      <c r="K221" s="5" t="s">
        <v>28</v>
      </c>
      <c r="L221" s="1" t="s">
        <v>132</v>
      </c>
      <c r="M221" s="1" t="s">
        <v>110</v>
      </c>
      <c r="N221" s="1">
        <v>801899</v>
      </c>
      <c r="O221" s="1" t="s">
        <v>603</v>
      </c>
      <c r="P221" s="1">
        <v>160216</v>
      </c>
      <c r="Q221" s="6" t="s">
        <v>119</v>
      </c>
      <c r="R221" s="1" t="s">
        <v>32</v>
      </c>
      <c r="S221" s="7" t="str">
        <f>IF(J221="Não aplicável","N.A.",VLOOKUP(J221,'[1]Lista ONU'!$A$2:$D$2271,3))</f>
        <v>N.A.</v>
      </c>
      <c r="T221" s="7" t="str">
        <f>IF(J221="Não aplicável","N.A.",VLOOKUP(J221,'[1]Lista ONU'!$A$2:$D$2271,4))</f>
        <v>N.A.</v>
      </c>
    </row>
    <row r="222" spans="1:20" x14ac:dyDescent="0.25">
      <c r="A222" s="4" t="s">
        <v>20</v>
      </c>
      <c r="B222" s="1" t="s">
        <v>609</v>
      </c>
      <c r="C222" s="1" t="s">
        <v>22</v>
      </c>
      <c r="D222" s="1" t="s">
        <v>106</v>
      </c>
      <c r="E222" s="5" t="s">
        <v>24</v>
      </c>
      <c r="F222" s="5" t="s">
        <v>106</v>
      </c>
      <c r="G222" s="1" t="s">
        <v>610</v>
      </c>
      <c r="H222" s="5" t="s">
        <v>62</v>
      </c>
      <c r="I222" s="1">
        <v>90</v>
      </c>
      <c r="J222" s="1">
        <v>3077</v>
      </c>
      <c r="K222" s="5" t="s">
        <v>28</v>
      </c>
      <c r="L222" s="1" t="s">
        <v>132</v>
      </c>
      <c r="M222" s="1" t="s">
        <v>133</v>
      </c>
      <c r="N222" s="1">
        <v>801899</v>
      </c>
      <c r="O222" s="1" t="s">
        <v>603</v>
      </c>
      <c r="P222" s="1">
        <v>160216</v>
      </c>
      <c r="Q222" s="6" t="s">
        <v>119</v>
      </c>
      <c r="R222" s="1" t="s">
        <v>32</v>
      </c>
      <c r="S222" s="7">
        <f>IF(J222="Não aplicável","N.A.",VLOOKUP(J222,'[1]Lista ONU'!$A$2:$D$2271,3))</f>
        <v>1000</v>
      </c>
      <c r="T222" s="7" t="str">
        <f>IF(J222="Não aplicável","N.A.",VLOOKUP(J222,'[1]Lista ONU'!$A$2:$D$2271,4))</f>
        <v>5 kg</v>
      </c>
    </row>
    <row r="223" spans="1:20" x14ac:dyDescent="0.25">
      <c r="A223" s="4" t="s">
        <v>20</v>
      </c>
      <c r="B223" s="1" t="s">
        <v>611</v>
      </c>
      <c r="C223" s="1" t="s">
        <v>22</v>
      </c>
      <c r="D223" s="1" t="s">
        <v>59</v>
      </c>
      <c r="E223" s="5" t="s">
        <v>24</v>
      </c>
      <c r="F223" s="5" t="s">
        <v>54</v>
      </c>
      <c r="G223" s="1" t="s">
        <v>73</v>
      </c>
      <c r="H223" s="5" t="s">
        <v>62</v>
      </c>
      <c r="I223" s="5">
        <v>90</v>
      </c>
      <c r="J223" s="5">
        <v>3432</v>
      </c>
      <c r="K223" s="5" t="s">
        <v>28</v>
      </c>
      <c r="L223" s="1" t="s">
        <v>43</v>
      </c>
      <c r="M223" s="1" t="s">
        <v>122</v>
      </c>
      <c r="N223" s="1">
        <v>801902</v>
      </c>
      <c r="O223" s="1" t="s">
        <v>307</v>
      </c>
      <c r="P223" s="1">
        <v>170502</v>
      </c>
      <c r="Q223" s="6" t="s">
        <v>124</v>
      </c>
      <c r="R223" s="1" t="s">
        <v>32</v>
      </c>
      <c r="S223" s="7" t="str">
        <f>IF(J223="Não aplicável","N.A.",VLOOKUP(J223,'[1]Lista ONU'!$A$2:$D$2271,3))</f>
        <v>ZERO</v>
      </c>
      <c r="T223" s="7" t="str">
        <f>IF(J223="Não aplicável","N.A.",VLOOKUP(J223,'[1]Lista ONU'!$A$2:$D$2271,4))</f>
        <v>1 kg</v>
      </c>
    </row>
    <row r="224" spans="1:20" x14ac:dyDescent="0.25">
      <c r="A224" s="4" t="s">
        <v>20</v>
      </c>
      <c r="B224" s="1" t="s">
        <v>612</v>
      </c>
      <c r="C224" s="1" t="s">
        <v>22</v>
      </c>
      <c r="D224" s="1" t="s">
        <v>59</v>
      </c>
      <c r="E224" s="5" t="s">
        <v>24</v>
      </c>
      <c r="F224" s="5" t="s">
        <v>106</v>
      </c>
      <c r="G224" s="1" t="s">
        <v>147</v>
      </c>
      <c r="H224" s="5" t="s">
        <v>62</v>
      </c>
      <c r="I224" s="1">
        <v>90</v>
      </c>
      <c r="J224" s="1">
        <v>3077</v>
      </c>
      <c r="K224" s="5" t="s">
        <v>28</v>
      </c>
      <c r="L224" s="1" t="s">
        <v>132</v>
      </c>
      <c r="M224" s="1" t="s">
        <v>133</v>
      </c>
      <c r="N224" s="1">
        <v>801894</v>
      </c>
      <c r="O224" s="1" t="s">
        <v>213</v>
      </c>
      <c r="P224" s="3">
        <v>130899</v>
      </c>
      <c r="Q224" s="6" t="s">
        <v>356</v>
      </c>
      <c r="R224" s="1" t="s">
        <v>32</v>
      </c>
      <c r="S224" s="7">
        <f>IF(J224="Não aplicável","N.A.",VLOOKUP(J224,'[1]Lista ONU'!$A$2:$D$2271,3))</f>
        <v>1000</v>
      </c>
      <c r="T224" s="7" t="str">
        <f>IF(J224="Não aplicável","N.A.",VLOOKUP(J224,'[1]Lista ONU'!$A$2:$D$2271,4))</f>
        <v>5 kg</v>
      </c>
    </row>
    <row r="225" spans="1:20" x14ac:dyDescent="0.25">
      <c r="A225" s="4" t="s">
        <v>20</v>
      </c>
      <c r="B225" s="1" t="s">
        <v>613</v>
      </c>
      <c r="C225" s="1" t="s">
        <v>22</v>
      </c>
      <c r="D225" s="1" t="s">
        <v>614</v>
      </c>
      <c r="E225" s="5" t="s">
        <v>24</v>
      </c>
      <c r="F225" s="5" t="s">
        <v>615</v>
      </c>
      <c r="G225" s="1" t="s">
        <v>26</v>
      </c>
      <c r="H225" s="5" t="s">
        <v>27</v>
      </c>
      <c r="I225" s="5">
        <v>30</v>
      </c>
      <c r="J225" s="5">
        <v>1993</v>
      </c>
      <c r="K225" s="5" t="s">
        <v>28</v>
      </c>
      <c r="L225" s="1" t="s">
        <v>616</v>
      </c>
      <c r="M225" s="1" t="s">
        <v>75</v>
      </c>
      <c r="N225" s="5">
        <v>801910</v>
      </c>
      <c r="O225" s="1" t="s">
        <v>30</v>
      </c>
      <c r="P225" s="1">
        <v>70104</v>
      </c>
      <c r="Q225" s="6" t="s">
        <v>31</v>
      </c>
      <c r="R225" s="1" t="s">
        <v>32</v>
      </c>
      <c r="S225" s="7">
        <f>IF(J225="Não aplicável","N.A.",VLOOKUP(J225,'[1]Lista ONU'!$A$2:$D$2271,3))</f>
        <v>20</v>
      </c>
      <c r="T225" s="7" t="str">
        <f>IF(J225="Não aplicável","N.A.",VLOOKUP(J225,'[1]Lista ONU'!$A$2:$D$2271,4))</f>
        <v>1 L</v>
      </c>
    </row>
    <row r="226" spans="1:20" x14ac:dyDescent="0.25">
      <c r="A226" s="4" t="s">
        <v>20</v>
      </c>
      <c r="B226" s="1" t="s">
        <v>617</v>
      </c>
      <c r="C226" s="1" t="s">
        <v>22</v>
      </c>
      <c r="D226" s="1" t="s">
        <v>568</v>
      </c>
      <c r="E226" s="5" t="s">
        <v>24</v>
      </c>
      <c r="F226" s="5" t="s">
        <v>25</v>
      </c>
      <c r="G226" s="1" t="s">
        <v>26</v>
      </c>
      <c r="H226" s="5" t="s">
        <v>27</v>
      </c>
      <c r="I226" s="5">
        <v>33</v>
      </c>
      <c r="J226" s="5">
        <v>1263</v>
      </c>
      <c r="K226" s="5" t="s">
        <v>28</v>
      </c>
      <c r="L226" s="1" t="s">
        <v>43</v>
      </c>
      <c r="M226" s="5" t="s">
        <v>593</v>
      </c>
      <c r="N226" s="1">
        <v>801896</v>
      </c>
      <c r="O226" s="1" t="s">
        <v>406</v>
      </c>
      <c r="P226" s="1">
        <v>170204</v>
      </c>
      <c r="Q226" s="6" t="s">
        <v>103</v>
      </c>
      <c r="R226" s="1" t="s">
        <v>32</v>
      </c>
      <c r="S226" s="7">
        <f>IF(J226="Não aplicável","N.A.",VLOOKUP(J226,'[1]Lista ONU'!$A$2:$D$2271,3))</f>
        <v>20</v>
      </c>
      <c r="T226" s="7" t="str">
        <f>IF(J226="Não aplicável","N.A.",VLOOKUP(J226,'[1]Lista ONU'!$A$2:$D$2271,4))</f>
        <v>5 L</v>
      </c>
    </row>
    <row r="227" spans="1:20" x14ac:dyDescent="0.25">
      <c r="A227" s="4" t="s">
        <v>215</v>
      </c>
      <c r="B227" s="1" t="s">
        <v>618</v>
      </c>
      <c r="C227" s="1" t="s">
        <v>22</v>
      </c>
      <c r="D227" s="1" t="s">
        <v>106</v>
      </c>
      <c r="E227" s="5" t="s">
        <v>107</v>
      </c>
      <c r="F227" s="5" t="s">
        <v>25</v>
      </c>
      <c r="G227" s="1" t="s">
        <v>217</v>
      </c>
      <c r="H227" s="1" t="s">
        <v>106</v>
      </c>
      <c r="I227" s="1" t="s">
        <v>106</v>
      </c>
      <c r="J227" s="1" t="s">
        <v>106</v>
      </c>
      <c r="K227" s="5" t="s">
        <v>28</v>
      </c>
      <c r="L227" s="1" t="s">
        <v>109</v>
      </c>
      <c r="M227" s="1" t="s">
        <v>110</v>
      </c>
      <c r="N227" s="1">
        <v>1842</v>
      </c>
      <c r="O227" s="1" t="s">
        <v>236</v>
      </c>
      <c r="P227" s="1">
        <v>170402</v>
      </c>
      <c r="Q227" s="6" t="s">
        <v>221</v>
      </c>
      <c r="R227" s="1" t="s">
        <v>113</v>
      </c>
      <c r="S227" s="7" t="str">
        <f>IF(J227="Não aplicável","N.A.",VLOOKUP(J227,'[1]Lista ONU'!$A$2:$D$2271,3))</f>
        <v>N.A.</v>
      </c>
      <c r="T227" s="7" t="str">
        <f>IF(J227="Não aplicável","N.A.",VLOOKUP(J227,'[1]Lista ONU'!$A$2:$D$2271,4))</f>
        <v>N.A.</v>
      </c>
    </row>
    <row r="228" spans="1:20" x14ac:dyDescent="0.25">
      <c r="A228" s="4" t="s">
        <v>215</v>
      </c>
      <c r="B228" s="1" t="s">
        <v>619</v>
      </c>
      <c r="C228" s="1" t="s">
        <v>22</v>
      </c>
      <c r="D228" s="1" t="s">
        <v>106</v>
      </c>
      <c r="E228" s="5" t="s">
        <v>24</v>
      </c>
      <c r="F228" s="5" t="s">
        <v>25</v>
      </c>
      <c r="G228" s="1" t="s">
        <v>217</v>
      </c>
      <c r="H228" s="5" t="s">
        <v>62</v>
      </c>
      <c r="I228" s="1">
        <v>90</v>
      </c>
      <c r="J228" s="1">
        <v>3077</v>
      </c>
      <c r="K228" s="5" t="s">
        <v>28</v>
      </c>
      <c r="L228" s="1" t="s">
        <v>109</v>
      </c>
      <c r="M228" s="1" t="s">
        <v>133</v>
      </c>
      <c r="N228" s="1">
        <v>1800</v>
      </c>
      <c r="O228" s="1" t="s">
        <v>620</v>
      </c>
      <c r="P228" s="1" t="s">
        <v>110</v>
      </c>
      <c r="Q228" s="6" t="s">
        <v>110</v>
      </c>
      <c r="R228" s="1" t="s">
        <v>32</v>
      </c>
      <c r="S228" s="7">
        <f>IF(J228="Não aplicável","N.A.",VLOOKUP(J228,'[1]Lista ONU'!$A$2:$D$2271,3))</f>
        <v>1000</v>
      </c>
      <c r="T228" s="7" t="str">
        <f>IF(J228="Não aplicável","N.A.",VLOOKUP(J228,'[1]Lista ONU'!$A$2:$D$2271,4))</f>
        <v>5 kg</v>
      </c>
    </row>
    <row r="229" spans="1:20" x14ac:dyDescent="0.25">
      <c r="A229" s="4" t="s">
        <v>215</v>
      </c>
      <c r="B229" s="1" t="s">
        <v>621</v>
      </c>
      <c r="C229" s="1" t="s">
        <v>22</v>
      </c>
      <c r="D229" s="1" t="s">
        <v>106</v>
      </c>
      <c r="E229" s="5" t="s">
        <v>107</v>
      </c>
      <c r="F229" s="5" t="s">
        <v>25</v>
      </c>
      <c r="G229" s="1" t="s">
        <v>217</v>
      </c>
      <c r="H229" s="1" t="s">
        <v>106</v>
      </c>
      <c r="I229" s="1" t="s">
        <v>106</v>
      </c>
      <c r="J229" s="1" t="s">
        <v>106</v>
      </c>
      <c r="K229" s="5" t="s">
        <v>28</v>
      </c>
      <c r="L229" s="1" t="s">
        <v>109</v>
      </c>
      <c r="M229" s="1" t="s">
        <v>110</v>
      </c>
      <c r="N229" s="1">
        <v>1867</v>
      </c>
      <c r="O229" s="1" t="s">
        <v>622</v>
      </c>
      <c r="P229" s="1">
        <v>170401</v>
      </c>
      <c r="Q229" s="6" t="s">
        <v>623</v>
      </c>
      <c r="R229" s="1" t="s">
        <v>113</v>
      </c>
      <c r="S229" s="7" t="str">
        <f>IF(J229="Não aplicável","N.A.",VLOOKUP(J229,'[1]Lista ONU'!$A$2:$D$2271,3))</f>
        <v>N.A.</v>
      </c>
      <c r="T229" s="7" t="str">
        <f>IF(J229="Não aplicável","N.A.",VLOOKUP(J229,'[1]Lista ONU'!$A$2:$D$2271,4))</f>
        <v>N.A.</v>
      </c>
    </row>
    <row r="230" spans="1:20" x14ac:dyDescent="0.25">
      <c r="A230" s="4" t="s">
        <v>20</v>
      </c>
      <c r="B230" s="1" t="s">
        <v>624</v>
      </c>
      <c r="C230" s="1" t="s">
        <v>22</v>
      </c>
      <c r="D230" s="1" t="s">
        <v>106</v>
      </c>
      <c r="E230" s="5" t="s">
        <v>24</v>
      </c>
      <c r="F230" s="5" t="s">
        <v>360</v>
      </c>
      <c r="G230" s="1" t="s">
        <v>73</v>
      </c>
      <c r="H230" s="5" t="s">
        <v>62</v>
      </c>
      <c r="I230" s="5">
        <v>90</v>
      </c>
      <c r="J230" s="5">
        <v>3077</v>
      </c>
      <c r="K230" s="5" t="s">
        <v>28</v>
      </c>
      <c r="L230" s="1" t="s">
        <v>109</v>
      </c>
      <c r="M230" s="1" t="s">
        <v>133</v>
      </c>
      <c r="N230" s="1">
        <v>801927</v>
      </c>
      <c r="O230" s="1" t="s">
        <v>515</v>
      </c>
      <c r="P230" s="3">
        <v>150110</v>
      </c>
      <c r="Q230" s="6" t="s">
        <v>625</v>
      </c>
      <c r="R230" s="1" t="s">
        <v>32</v>
      </c>
      <c r="S230" s="7">
        <f>IF(J230="Não aplicável","N.A.",VLOOKUP(J230,'[1]Lista ONU'!$A$2:$D$2271,3))</f>
        <v>1000</v>
      </c>
      <c r="T230" s="7" t="str">
        <f>IF(J230="Não aplicável","N.A.",VLOOKUP(J230,'[1]Lista ONU'!$A$2:$D$2271,4))</f>
        <v>5 kg</v>
      </c>
    </row>
    <row r="231" spans="1:20" x14ac:dyDescent="0.25">
      <c r="A231" s="4" t="s">
        <v>20</v>
      </c>
      <c r="B231" s="1" t="s">
        <v>626</v>
      </c>
      <c r="C231" s="1" t="s">
        <v>22</v>
      </c>
      <c r="D231" s="1" t="s">
        <v>106</v>
      </c>
      <c r="E231" s="5" t="s">
        <v>24</v>
      </c>
      <c r="F231" s="5" t="s">
        <v>360</v>
      </c>
      <c r="G231" s="1" t="s">
        <v>627</v>
      </c>
      <c r="H231" s="5" t="s">
        <v>62</v>
      </c>
      <c r="I231" s="5">
        <v>90</v>
      </c>
      <c r="J231" s="5">
        <v>3077</v>
      </c>
      <c r="K231" s="5" t="s">
        <v>28</v>
      </c>
      <c r="L231" s="1" t="s">
        <v>628</v>
      </c>
      <c r="M231" s="1" t="s">
        <v>133</v>
      </c>
      <c r="N231" s="1">
        <v>801927</v>
      </c>
      <c r="O231" s="1" t="s">
        <v>515</v>
      </c>
      <c r="P231" s="3">
        <v>130899</v>
      </c>
      <c r="Q231" s="6" t="s">
        <v>356</v>
      </c>
      <c r="R231" s="1" t="s">
        <v>32</v>
      </c>
      <c r="S231" s="7">
        <f>IF(J231="Não aplicável","N.A.",VLOOKUP(J231,'[1]Lista ONU'!$A$2:$D$2271,3))</f>
        <v>1000</v>
      </c>
      <c r="T231" s="7" t="str">
        <f>IF(J231="Não aplicável","N.A.",VLOOKUP(J231,'[1]Lista ONU'!$A$2:$D$2271,4))</f>
        <v>5 kg</v>
      </c>
    </row>
    <row r="232" spans="1:20" x14ac:dyDescent="0.25">
      <c r="A232" s="4" t="s">
        <v>368</v>
      </c>
      <c r="B232" s="1" t="s">
        <v>629</v>
      </c>
      <c r="C232" s="1" t="s">
        <v>22</v>
      </c>
      <c r="D232" s="1" t="s">
        <v>106</v>
      </c>
      <c r="E232" s="5" t="s">
        <v>228</v>
      </c>
      <c r="F232" s="5" t="s">
        <v>87</v>
      </c>
      <c r="G232" s="1" t="s">
        <v>266</v>
      </c>
      <c r="H232" s="1" t="s">
        <v>106</v>
      </c>
      <c r="I232" s="1" t="s">
        <v>106</v>
      </c>
      <c r="J232" s="1" t="s">
        <v>106</v>
      </c>
      <c r="K232" s="5" t="s">
        <v>28</v>
      </c>
      <c r="L232" s="1" t="s">
        <v>132</v>
      </c>
      <c r="M232" s="1" t="s">
        <v>110</v>
      </c>
      <c r="N232" s="1">
        <v>218941</v>
      </c>
      <c r="O232" s="1" t="s">
        <v>630</v>
      </c>
      <c r="P232" s="1">
        <v>170604</v>
      </c>
      <c r="Q232" s="6" t="s">
        <v>371</v>
      </c>
      <c r="R232" s="1" t="s">
        <v>32</v>
      </c>
      <c r="S232" s="7" t="str">
        <f>IF(J232="Não aplicável","N.A.",VLOOKUP(J232,'[1]Lista ONU'!$A$2:$D$2271,3))</f>
        <v>N.A.</v>
      </c>
      <c r="T232" s="7" t="str">
        <f>IF(J232="Não aplicável","N.A.",VLOOKUP(J232,'[1]Lista ONU'!$A$2:$D$2271,4))</f>
        <v>N.A.</v>
      </c>
    </row>
    <row r="233" spans="1:20" x14ac:dyDescent="0.25">
      <c r="A233" s="4" t="s">
        <v>215</v>
      </c>
      <c r="B233" s="1" t="s">
        <v>631</v>
      </c>
      <c r="C233" s="1" t="s">
        <v>95</v>
      </c>
      <c r="D233" s="1" t="s">
        <v>106</v>
      </c>
      <c r="E233" s="5" t="s">
        <v>107</v>
      </c>
      <c r="F233" s="5" t="s">
        <v>25</v>
      </c>
      <c r="G233" s="1" t="s">
        <v>167</v>
      </c>
      <c r="H233" s="1" t="s">
        <v>106</v>
      </c>
      <c r="I233" s="1" t="s">
        <v>106</v>
      </c>
      <c r="J233" s="1" t="s">
        <v>106</v>
      </c>
      <c r="K233" s="5" t="s">
        <v>28</v>
      </c>
      <c r="L233" s="1" t="s">
        <v>457</v>
      </c>
      <c r="M233" s="1" t="s">
        <v>110</v>
      </c>
      <c r="N233" s="5" t="s">
        <v>110</v>
      </c>
      <c r="O233" s="1" t="s">
        <v>110</v>
      </c>
      <c r="P233" s="1" t="s">
        <v>110</v>
      </c>
      <c r="Q233" s="6" t="s">
        <v>110</v>
      </c>
      <c r="R233" s="1" t="s">
        <v>32</v>
      </c>
      <c r="S233" s="7" t="str">
        <f>IF(J233="Não aplicável","N.A.",VLOOKUP(J233,'[1]Lista ONU'!$A$2:$D$2271,3))</f>
        <v>N.A.</v>
      </c>
      <c r="T233" s="7" t="str">
        <f>IF(J233="Não aplicável","N.A.",VLOOKUP(J233,'[1]Lista ONU'!$A$2:$D$2271,4))</f>
        <v>N.A.</v>
      </c>
    </row>
    <row r="234" spans="1:20" x14ac:dyDescent="0.25">
      <c r="A234" s="4" t="s">
        <v>264</v>
      </c>
      <c r="B234" s="1" t="s">
        <v>632</v>
      </c>
      <c r="C234" s="1" t="s">
        <v>22</v>
      </c>
      <c r="D234" s="1" t="s">
        <v>106</v>
      </c>
      <c r="E234" s="5" t="s">
        <v>107</v>
      </c>
      <c r="F234" s="5" t="s">
        <v>87</v>
      </c>
      <c r="G234" s="1" t="s">
        <v>266</v>
      </c>
      <c r="H234" s="1" t="s">
        <v>106</v>
      </c>
      <c r="I234" s="1" t="s">
        <v>106</v>
      </c>
      <c r="J234" s="1" t="s">
        <v>106</v>
      </c>
      <c r="K234" s="5" t="s">
        <v>28</v>
      </c>
      <c r="L234" s="1" t="s">
        <v>109</v>
      </c>
      <c r="M234" s="1" t="s">
        <v>110</v>
      </c>
      <c r="N234" s="1">
        <v>1776</v>
      </c>
      <c r="O234" s="1" t="s">
        <v>348</v>
      </c>
      <c r="P234" s="1">
        <v>170405</v>
      </c>
      <c r="Q234" s="6" t="s">
        <v>349</v>
      </c>
      <c r="R234" s="1" t="s">
        <v>32</v>
      </c>
      <c r="S234" s="7" t="str">
        <f>IF(J234="Não aplicável","N.A.",VLOOKUP(J234,'[1]Lista ONU'!$A$2:$D$2271,3))</f>
        <v>N.A.</v>
      </c>
      <c r="T234" s="7" t="str">
        <f>IF(J234="Não aplicável","N.A.",VLOOKUP(J234,'[1]Lista ONU'!$A$2:$D$2271,4))</f>
        <v>N.A.</v>
      </c>
    </row>
    <row r="235" spans="1:20" x14ac:dyDescent="0.25">
      <c r="A235" s="4" t="s">
        <v>20</v>
      </c>
      <c r="B235" s="1" t="s">
        <v>633</v>
      </c>
      <c r="C235" s="1" t="s">
        <v>22</v>
      </c>
      <c r="D235" s="1" t="s">
        <v>59</v>
      </c>
      <c r="E235" s="5" t="s">
        <v>24</v>
      </c>
      <c r="F235" s="5" t="s">
        <v>25</v>
      </c>
      <c r="G235" s="1" t="s">
        <v>634</v>
      </c>
      <c r="H235" s="5" t="s">
        <v>62</v>
      </c>
      <c r="I235" s="5">
        <v>90</v>
      </c>
      <c r="J235" s="5">
        <v>3077</v>
      </c>
      <c r="K235" s="5" t="s">
        <v>28</v>
      </c>
      <c r="L235" s="1" t="s">
        <v>100</v>
      </c>
      <c r="M235" s="1" t="s">
        <v>64</v>
      </c>
      <c r="N235" s="1">
        <v>801894</v>
      </c>
      <c r="O235" s="1" t="s">
        <v>213</v>
      </c>
      <c r="P235" s="3">
        <v>130899</v>
      </c>
      <c r="Q235" s="6" t="s">
        <v>356</v>
      </c>
      <c r="R235" s="1" t="s">
        <v>32</v>
      </c>
      <c r="S235" s="7">
        <f>IF(J235="Não aplicável","N.A.",VLOOKUP(J235,'[1]Lista ONU'!$A$2:$D$2271,3))</f>
        <v>1000</v>
      </c>
      <c r="T235" s="7" t="str">
        <f>IF(J235="Não aplicável","N.A.",VLOOKUP(J235,'[1]Lista ONU'!$A$2:$D$2271,4))</f>
        <v>5 kg</v>
      </c>
    </row>
    <row r="236" spans="1:20" x14ac:dyDescent="0.25">
      <c r="A236" s="4" t="s">
        <v>215</v>
      </c>
      <c r="B236" s="1" t="s">
        <v>635</v>
      </c>
      <c r="C236" s="1" t="s">
        <v>22</v>
      </c>
      <c r="D236" s="1" t="s">
        <v>106</v>
      </c>
      <c r="E236" s="5" t="s">
        <v>107</v>
      </c>
      <c r="F236" s="5" t="s">
        <v>25</v>
      </c>
      <c r="G236" s="1" t="s">
        <v>217</v>
      </c>
      <c r="H236" s="1" t="s">
        <v>106</v>
      </c>
      <c r="I236" s="1" t="s">
        <v>106</v>
      </c>
      <c r="J236" s="1" t="s">
        <v>106</v>
      </c>
      <c r="K236" s="5" t="s">
        <v>28</v>
      </c>
      <c r="L236" s="1" t="s">
        <v>113</v>
      </c>
      <c r="M236" s="1" t="s">
        <v>110</v>
      </c>
      <c r="N236" s="1">
        <v>77560</v>
      </c>
      <c r="O236" s="1" t="s">
        <v>636</v>
      </c>
      <c r="P236" s="1">
        <v>150104</v>
      </c>
      <c r="Q236" s="6" t="s">
        <v>637</v>
      </c>
      <c r="R236" s="1" t="s">
        <v>113</v>
      </c>
      <c r="S236" s="7" t="str">
        <f>IF(J236="Não aplicável","N.A.",VLOOKUP(J236,'[1]Lista ONU'!$A$2:$D$2271,3))</f>
        <v>N.A.</v>
      </c>
      <c r="T236" s="7" t="str">
        <f>IF(J236="Não aplicável","N.A.",VLOOKUP(J236,'[1]Lista ONU'!$A$2:$D$2271,4))</f>
        <v>N.A.</v>
      </c>
    </row>
    <row r="237" spans="1:20" x14ac:dyDescent="0.25">
      <c r="A237" s="4" t="s">
        <v>128</v>
      </c>
      <c r="B237" s="8" t="s">
        <v>638</v>
      </c>
      <c r="C237" s="1" t="s">
        <v>22</v>
      </c>
      <c r="D237" s="1" t="s">
        <v>106</v>
      </c>
      <c r="E237" s="5" t="s">
        <v>228</v>
      </c>
      <c r="F237" s="5" t="s">
        <v>106</v>
      </c>
      <c r="G237" s="1" t="s">
        <v>229</v>
      </c>
      <c r="H237" s="1" t="s">
        <v>106</v>
      </c>
      <c r="I237" s="1" t="s">
        <v>106</v>
      </c>
      <c r="J237" s="1" t="s">
        <v>106</v>
      </c>
      <c r="K237" s="5" t="s">
        <v>28</v>
      </c>
      <c r="L237" s="1" t="s">
        <v>132</v>
      </c>
      <c r="M237" s="1" t="s">
        <v>110</v>
      </c>
      <c r="N237" s="1">
        <v>801897</v>
      </c>
      <c r="O237" s="1" t="s">
        <v>134</v>
      </c>
      <c r="P237" s="1">
        <v>150202</v>
      </c>
      <c r="Q237" s="6" t="s">
        <v>135</v>
      </c>
      <c r="R237" s="1" t="s">
        <v>32</v>
      </c>
      <c r="S237" s="7" t="str">
        <f>IF(J237="Não aplicável","N.A.",VLOOKUP(J237,'[1]Lista ONU'!$A$2:$D$2271,3))</f>
        <v>N.A.</v>
      </c>
      <c r="T237" s="7" t="str">
        <f>IF(J237="Não aplicável","N.A.",VLOOKUP(J237,'[1]Lista ONU'!$A$2:$D$2271,4))</f>
        <v>N.A.</v>
      </c>
    </row>
    <row r="238" spans="1:20" x14ac:dyDescent="0.25">
      <c r="A238" s="4" t="s">
        <v>128</v>
      </c>
      <c r="B238" s="1" t="s">
        <v>639</v>
      </c>
      <c r="C238" s="1" t="s">
        <v>22</v>
      </c>
      <c r="D238" s="1" t="s">
        <v>106</v>
      </c>
      <c r="E238" s="5" t="s">
        <v>228</v>
      </c>
      <c r="F238" s="5" t="s">
        <v>106</v>
      </c>
      <c r="G238" s="1" t="s">
        <v>229</v>
      </c>
      <c r="H238" s="1" t="s">
        <v>106</v>
      </c>
      <c r="I238" s="1" t="s">
        <v>106</v>
      </c>
      <c r="J238" s="1" t="s">
        <v>106</v>
      </c>
      <c r="K238" s="5" t="s">
        <v>28</v>
      </c>
      <c r="L238" s="1" t="s">
        <v>132</v>
      </c>
      <c r="M238" s="1" t="s">
        <v>110</v>
      </c>
      <c r="N238" s="1">
        <v>801897</v>
      </c>
      <c r="O238" s="1" t="s">
        <v>134</v>
      </c>
      <c r="P238" s="1">
        <v>150202</v>
      </c>
      <c r="Q238" s="6" t="s">
        <v>135</v>
      </c>
      <c r="R238" s="1" t="s">
        <v>32</v>
      </c>
      <c r="S238" s="7" t="str">
        <f>IF(J238="Não aplicável","N.A.",VLOOKUP(J238,'[1]Lista ONU'!$A$2:$D$2271,3))</f>
        <v>N.A.</v>
      </c>
      <c r="T238" s="7" t="str">
        <f>IF(J238="Não aplicável","N.A.",VLOOKUP(J238,'[1]Lista ONU'!$A$2:$D$2271,4))</f>
        <v>N.A.</v>
      </c>
    </row>
    <row r="239" spans="1:20" x14ac:dyDescent="0.25">
      <c r="A239" s="4" t="s">
        <v>20</v>
      </c>
      <c r="B239" s="1" t="s">
        <v>640</v>
      </c>
      <c r="C239" s="1" t="s">
        <v>22</v>
      </c>
      <c r="D239" s="1" t="s">
        <v>86</v>
      </c>
      <c r="E239" s="5" t="s">
        <v>24</v>
      </c>
      <c r="F239" s="5" t="s">
        <v>87</v>
      </c>
      <c r="G239" s="1" t="s">
        <v>641</v>
      </c>
      <c r="H239" s="5" t="s">
        <v>62</v>
      </c>
      <c r="I239" s="1">
        <v>90</v>
      </c>
      <c r="J239" s="1">
        <v>2590</v>
      </c>
      <c r="K239" s="5" t="s">
        <v>28</v>
      </c>
      <c r="L239" s="1" t="s">
        <v>366</v>
      </c>
      <c r="M239" s="1" t="s">
        <v>90</v>
      </c>
      <c r="N239" s="1">
        <v>801890</v>
      </c>
      <c r="O239" s="1" t="s">
        <v>91</v>
      </c>
      <c r="P239" s="1">
        <v>160212</v>
      </c>
      <c r="Q239" s="6" t="s">
        <v>92</v>
      </c>
      <c r="R239" s="1" t="s">
        <v>32</v>
      </c>
      <c r="S239" s="7">
        <f>IF(J239="Não aplicável","N.A.",VLOOKUP(J239,'[1]Lista ONU'!$A$2:$D$2271,3))</f>
        <v>1000</v>
      </c>
      <c r="T239" s="7" t="str">
        <f>IF(J239="Não aplicável","N.A.",VLOOKUP(J239,'[1]Lista ONU'!$A$2:$D$2271,4))</f>
        <v>5 kg</v>
      </c>
    </row>
    <row r="240" spans="1:20" x14ac:dyDescent="0.25">
      <c r="A240" s="4" t="s">
        <v>93</v>
      </c>
      <c r="B240" s="1" t="s">
        <v>642</v>
      </c>
      <c r="C240" s="1" t="s">
        <v>95</v>
      </c>
      <c r="D240" s="1" t="s">
        <v>96</v>
      </c>
      <c r="E240" s="5" t="s">
        <v>24</v>
      </c>
      <c r="F240" s="5" t="s">
        <v>97</v>
      </c>
      <c r="G240" s="1" t="s">
        <v>98</v>
      </c>
      <c r="H240" s="5" t="s">
        <v>99</v>
      </c>
      <c r="I240" s="5">
        <v>60</v>
      </c>
      <c r="J240" s="1">
        <v>3506</v>
      </c>
      <c r="K240" s="5" t="s">
        <v>28</v>
      </c>
      <c r="L240" s="1" t="s">
        <v>100</v>
      </c>
      <c r="M240" s="1" t="s">
        <v>454</v>
      </c>
      <c r="N240" s="1">
        <v>801909</v>
      </c>
      <c r="O240" s="1" t="s">
        <v>102</v>
      </c>
      <c r="P240" s="1">
        <v>170204</v>
      </c>
      <c r="Q240" s="6" t="s">
        <v>103</v>
      </c>
      <c r="R240" s="1" t="s">
        <v>32</v>
      </c>
      <c r="S240" s="7">
        <f>IF(J240="Não aplicável","N.A.",VLOOKUP(J240,'[1]Lista ONU'!$A$2:$D$2271,3))</f>
        <v>1000</v>
      </c>
      <c r="T240" s="7" t="str">
        <f>IF(J240="Não aplicável","N.A.",VLOOKUP(J240,'[1]Lista ONU'!$A$2:$D$2271,4))</f>
        <v>5 kg</v>
      </c>
    </row>
    <row r="241" spans="1:20" x14ac:dyDescent="0.25">
      <c r="A241" s="4" t="s">
        <v>56</v>
      </c>
      <c r="B241" s="1" t="s">
        <v>643</v>
      </c>
      <c r="C241" s="1" t="s">
        <v>22</v>
      </c>
      <c r="D241" s="1" t="s">
        <v>59</v>
      </c>
      <c r="E241" s="5" t="s">
        <v>24</v>
      </c>
      <c r="F241" s="5" t="s">
        <v>60</v>
      </c>
      <c r="G241" s="1" t="s">
        <v>73</v>
      </c>
      <c r="H241" s="5" t="s">
        <v>62</v>
      </c>
      <c r="I241" s="5">
        <v>90</v>
      </c>
      <c r="J241" s="5">
        <v>3077</v>
      </c>
      <c r="K241" s="5" t="s">
        <v>28</v>
      </c>
      <c r="L241" s="1" t="s">
        <v>132</v>
      </c>
      <c r="M241" s="1" t="s">
        <v>133</v>
      </c>
      <c r="N241" s="1">
        <v>801894</v>
      </c>
      <c r="O241" s="1" t="s">
        <v>213</v>
      </c>
      <c r="P241" s="3">
        <v>170503</v>
      </c>
      <c r="Q241" s="6" t="s">
        <v>214</v>
      </c>
      <c r="R241" s="1" t="s">
        <v>32</v>
      </c>
      <c r="S241" s="7">
        <f>IF(J241="Não aplicável","N.A.",VLOOKUP(J241,'[1]Lista ONU'!$A$2:$D$2271,3))</f>
        <v>1000</v>
      </c>
      <c r="T241" s="7" t="str">
        <f>IF(J241="Não aplicável","N.A.",VLOOKUP(J241,'[1]Lista ONU'!$A$2:$D$2271,4))</f>
        <v>5 kg</v>
      </c>
    </row>
    <row r="242" spans="1:20" x14ac:dyDescent="0.25">
      <c r="A242" s="4" t="s">
        <v>56</v>
      </c>
      <c r="B242" s="1" t="s">
        <v>644</v>
      </c>
      <c r="C242" s="1" t="s">
        <v>22</v>
      </c>
      <c r="D242" s="1" t="s">
        <v>59</v>
      </c>
      <c r="E242" s="5" t="s">
        <v>24</v>
      </c>
      <c r="F242" s="5" t="s">
        <v>60</v>
      </c>
      <c r="G242" s="1" t="s">
        <v>73</v>
      </c>
      <c r="H242" s="5" t="s">
        <v>62</v>
      </c>
      <c r="I242" s="5">
        <v>90</v>
      </c>
      <c r="J242" s="5">
        <v>3077</v>
      </c>
      <c r="K242" s="5" t="s">
        <v>28</v>
      </c>
      <c r="L242" s="1" t="s">
        <v>132</v>
      </c>
      <c r="M242" s="1" t="s">
        <v>133</v>
      </c>
      <c r="N242" s="1">
        <v>801894</v>
      </c>
      <c r="O242" s="1" t="s">
        <v>213</v>
      </c>
      <c r="P242" s="3" t="s">
        <v>645</v>
      </c>
      <c r="Q242" s="6" t="s">
        <v>646</v>
      </c>
      <c r="R242" s="1" t="s">
        <v>32</v>
      </c>
      <c r="S242" s="7">
        <f>IF(J242="Não aplicável","N.A.",VLOOKUP(J242,'[1]Lista ONU'!$A$2:$D$2271,3))</f>
        <v>1000</v>
      </c>
      <c r="T242" s="7" t="str">
        <f>IF(J242="Não aplicável","N.A.",VLOOKUP(J242,'[1]Lista ONU'!$A$2:$D$2271,4))</f>
        <v>5 kg</v>
      </c>
    </row>
    <row r="243" spans="1:20" x14ac:dyDescent="0.25">
      <c r="A243" s="4" t="s">
        <v>20</v>
      </c>
      <c r="B243" s="1" t="s">
        <v>647</v>
      </c>
      <c r="C243" s="1" t="s">
        <v>22</v>
      </c>
      <c r="D243" s="1" t="s">
        <v>291</v>
      </c>
      <c r="E243" s="5" t="s">
        <v>24</v>
      </c>
      <c r="F243" s="5" t="s">
        <v>292</v>
      </c>
      <c r="G243" s="1" t="s">
        <v>26</v>
      </c>
      <c r="H243" s="5" t="s">
        <v>27</v>
      </c>
      <c r="I243" s="5">
        <v>30</v>
      </c>
      <c r="J243" s="5">
        <v>1263</v>
      </c>
      <c r="K243" s="5" t="s">
        <v>28</v>
      </c>
      <c r="L243" s="1" t="s">
        <v>74</v>
      </c>
      <c r="M243" s="1" t="s">
        <v>593</v>
      </c>
      <c r="N243" s="1">
        <v>801910</v>
      </c>
      <c r="O243" s="1" t="s">
        <v>648</v>
      </c>
      <c r="P243" s="1">
        <v>70104</v>
      </c>
      <c r="Q243" s="6" t="s">
        <v>31</v>
      </c>
      <c r="R243" s="1" t="s">
        <v>32</v>
      </c>
      <c r="S243" s="7">
        <f>IF(J243="Não aplicável","N.A.",VLOOKUP(J243,'[1]Lista ONU'!$A$2:$D$2271,3))</f>
        <v>20</v>
      </c>
      <c r="T243" s="7" t="str">
        <f>IF(J243="Não aplicável","N.A.",VLOOKUP(J243,'[1]Lista ONU'!$A$2:$D$2271,4))</f>
        <v>5 L</v>
      </c>
    </row>
    <row r="244" spans="1:20" x14ac:dyDescent="0.25">
      <c r="A244" s="4" t="s">
        <v>20</v>
      </c>
      <c r="B244" s="1" t="s">
        <v>649</v>
      </c>
      <c r="C244" s="1" t="s">
        <v>22</v>
      </c>
      <c r="D244" s="1" t="s">
        <v>342</v>
      </c>
      <c r="E244" s="5" t="s">
        <v>24</v>
      </c>
      <c r="F244" s="5" t="s">
        <v>60</v>
      </c>
      <c r="G244" s="1" t="s">
        <v>73</v>
      </c>
      <c r="H244" s="5" t="s">
        <v>27</v>
      </c>
      <c r="I244" s="5">
        <v>33</v>
      </c>
      <c r="J244" s="5">
        <v>1263</v>
      </c>
      <c r="K244" s="5" t="s">
        <v>28</v>
      </c>
      <c r="L244" s="1" t="s">
        <v>343</v>
      </c>
      <c r="M244" s="1" t="s">
        <v>399</v>
      </c>
      <c r="N244" s="1">
        <v>801896</v>
      </c>
      <c r="O244" s="1" t="s">
        <v>188</v>
      </c>
      <c r="P244" s="1">
        <v>170204</v>
      </c>
      <c r="Q244" s="6" t="s">
        <v>103</v>
      </c>
      <c r="R244" s="1" t="s">
        <v>32</v>
      </c>
      <c r="S244" s="7">
        <f>IF(J244="Não aplicável","N.A.",VLOOKUP(J244,'[1]Lista ONU'!$A$2:$D$2271,3))</f>
        <v>20</v>
      </c>
      <c r="T244" s="7" t="str">
        <f>IF(J244="Não aplicável","N.A.",VLOOKUP(J244,'[1]Lista ONU'!$A$2:$D$2271,4))</f>
        <v>5 L</v>
      </c>
    </row>
    <row r="245" spans="1:20" x14ac:dyDescent="0.25">
      <c r="A245" s="4" t="s">
        <v>20</v>
      </c>
      <c r="B245" s="1" t="s">
        <v>650</v>
      </c>
      <c r="C245" s="1" t="s">
        <v>22</v>
      </c>
      <c r="D245" s="1" t="s">
        <v>568</v>
      </c>
      <c r="E245" s="5" t="s">
        <v>24</v>
      </c>
      <c r="F245" s="5" t="s">
        <v>25</v>
      </c>
      <c r="G245" s="1" t="s">
        <v>26</v>
      </c>
      <c r="H245" s="5" t="s">
        <v>27</v>
      </c>
      <c r="I245" s="5">
        <v>33</v>
      </c>
      <c r="J245" s="5">
        <v>1294</v>
      </c>
      <c r="K245" s="5" t="s">
        <v>28</v>
      </c>
      <c r="L245" s="5" t="s">
        <v>29</v>
      </c>
      <c r="M245" s="5" t="s">
        <v>650</v>
      </c>
      <c r="N245" s="5">
        <v>801910</v>
      </c>
      <c r="O245" s="5" t="s">
        <v>195</v>
      </c>
      <c r="P245" s="1">
        <v>70104</v>
      </c>
      <c r="Q245" s="6" t="s">
        <v>31</v>
      </c>
      <c r="R245" s="1" t="s">
        <v>32</v>
      </c>
      <c r="S245" s="7">
        <f>IF(J245="Não aplicável","N.A.",VLOOKUP(J245,'[1]Lista ONU'!$A$2:$D$2271,3))</f>
        <v>333</v>
      </c>
      <c r="T245" s="7" t="str">
        <f>IF(J245="Não aplicável","N.A.",VLOOKUP(J245,'[1]Lista ONU'!$A$2:$D$2271,4))</f>
        <v>1 L</v>
      </c>
    </row>
    <row r="246" spans="1:20" x14ac:dyDescent="0.25">
      <c r="A246" s="4" t="s">
        <v>247</v>
      </c>
      <c r="B246" s="1" t="s">
        <v>651</v>
      </c>
      <c r="C246" s="1" t="s">
        <v>22</v>
      </c>
      <c r="D246" s="1" t="s">
        <v>106</v>
      </c>
      <c r="E246" s="5" t="s">
        <v>24</v>
      </c>
      <c r="F246" s="5" t="s">
        <v>360</v>
      </c>
      <c r="G246" s="1" t="s">
        <v>88</v>
      </c>
      <c r="H246" s="5" t="s">
        <v>62</v>
      </c>
      <c r="I246" s="5">
        <v>90</v>
      </c>
      <c r="J246" s="5">
        <v>3077</v>
      </c>
      <c r="K246" s="5" t="s">
        <v>28</v>
      </c>
      <c r="L246" s="1" t="s">
        <v>132</v>
      </c>
      <c r="M246" s="1" t="s">
        <v>133</v>
      </c>
      <c r="N246" s="1">
        <v>801900</v>
      </c>
      <c r="O246" s="1" t="s">
        <v>253</v>
      </c>
      <c r="P246" s="1">
        <v>80111</v>
      </c>
      <c r="Q246" s="6" t="s">
        <v>254</v>
      </c>
      <c r="R246" s="1" t="s">
        <v>32</v>
      </c>
      <c r="S246" s="7">
        <f>IF(J246="Não aplicável","N.A.",VLOOKUP(J246,'[1]Lista ONU'!$A$2:$D$2271,3))</f>
        <v>1000</v>
      </c>
      <c r="T246" s="7" t="str">
        <f>IF(J246="Não aplicável","N.A.",VLOOKUP(J246,'[1]Lista ONU'!$A$2:$D$2271,4))</f>
        <v>5 kg</v>
      </c>
    </row>
    <row r="247" spans="1:20" x14ac:dyDescent="0.25">
      <c r="A247" s="4" t="s">
        <v>247</v>
      </c>
      <c r="B247" s="1" t="s">
        <v>652</v>
      </c>
      <c r="C247" s="1" t="s">
        <v>22</v>
      </c>
      <c r="D247" s="1" t="s">
        <v>106</v>
      </c>
      <c r="E247" s="5" t="s">
        <v>24</v>
      </c>
      <c r="F247" s="5" t="s">
        <v>360</v>
      </c>
      <c r="G247" s="1" t="s">
        <v>88</v>
      </c>
      <c r="H247" s="5" t="s">
        <v>62</v>
      </c>
      <c r="I247" s="5">
        <v>90</v>
      </c>
      <c r="J247" s="5">
        <v>3077</v>
      </c>
      <c r="K247" s="5" t="s">
        <v>28</v>
      </c>
      <c r="L247" s="1" t="s">
        <v>599</v>
      </c>
      <c r="M247" s="1" t="s">
        <v>133</v>
      </c>
      <c r="N247" s="1">
        <v>801900</v>
      </c>
      <c r="O247" s="1" t="s">
        <v>600</v>
      </c>
      <c r="P247" s="1">
        <v>160214</v>
      </c>
      <c r="Q247" s="6" t="s">
        <v>251</v>
      </c>
      <c r="R247" s="1" t="s">
        <v>32</v>
      </c>
      <c r="S247" s="7">
        <f>IF(J247="Não aplicável","N.A.",VLOOKUP(J247,'[1]Lista ONU'!$A$2:$D$2271,3))</f>
        <v>1000</v>
      </c>
      <c r="T247" s="7" t="str">
        <f>IF(J247="Não aplicável","N.A.",VLOOKUP(J247,'[1]Lista ONU'!$A$2:$D$2271,4))</f>
        <v>5 kg</v>
      </c>
    </row>
    <row r="248" spans="1:20" x14ac:dyDescent="0.25">
      <c r="A248" s="4" t="s">
        <v>114</v>
      </c>
      <c r="B248" s="1" t="s">
        <v>653</v>
      </c>
      <c r="C248" s="1" t="s">
        <v>95</v>
      </c>
      <c r="D248" s="1" t="s">
        <v>106</v>
      </c>
      <c r="E248" s="5" t="s">
        <v>107</v>
      </c>
      <c r="F248" s="5" t="s">
        <v>25</v>
      </c>
      <c r="G248" s="1" t="s">
        <v>217</v>
      </c>
      <c r="H248" s="1" t="s">
        <v>106</v>
      </c>
      <c r="I248" s="1" t="s">
        <v>106</v>
      </c>
      <c r="J248" s="1" t="s">
        <v>106</v>
      </c>
      <c r="K248" s="5" t="s">
        <v>28</v>
      </c>
      <c r="L248" s="5" t="s">
        <v>113</v>
      </c>
      <c r="M248" s="5" t="s">
        <v>110</v>
      </c>
      <c r="N248" s="5" t="s">
        <v>110</v>
      </c>
      <c r="O248" s="5" t="s">
        <v>110</v>
      </c>
      <c r="P248" s="1" t="s">
        <v>110</v>
      </c>
      <c r="Q248" s="6" t="s">
        <v>110</v>
      </c>
      <c r="R248" s="1" t="s">
        <v>32</v>
      </c>
      <c r="S248" s="7" t="str">
        <f>IF(J248="Não aplicável","N.A.",VLOOKUP(J248,'[1]Lista ONU'!$A$2:$D$2271,3))</f>
        <v>N.A.</v>
      </c>
      <c r="T248" s="7" t="str">
        <f>IF(J248="Não aplicável","N.A.",VLOOKUP(J248,'[1]Lista ONU'!$A$2:$D$2271,4))</f>
        <v>N.A.</v>
      </c>
    </row>
    <row r="249" spans="1:20" x14ac:dyDescent="0.25">
      <c r="A249" s="4" t="s">
        <v>114</v>
      </c>
      <c r="B249" s="1" t="s">
        <v>654</v>
      </c>
      <c r="C249" s="1" t="s">
        <v>95</v>
      </c>
      <c r="D249" s="1" t="s">
        <v>106</v>
      </c>
      <c r="E249" s="5" t="s">
        <v>107</v>
      </c>
      <c r="F249" s="5" t="s">
        <v>25</v>
      </c>
      <c r="G249" s="1" t="s">
        <v>655</v>
      </c>
      <c r="H249" s="1" t="s">
        <v>106</v>
      </c>
      <c r="I249" s="1" t="s">
        <v>106</v>
      </c>
      <c r="J249" s="1" t="s">
        <v>106</v>
      </c>
      <c r="K249" s="5" t="s">
        <v>28</v>
      </c>
      <c r="L249" s="5" t="s">
        <v>566</v>
      </c>
      <c r="M249" s="5" t="s">
        <v>110</v>
      </c>
      <c r="N249" s="5" t="s">
        <v>110</v>
      </c>
      <c r="O249" s="5" t="s">
        <v>110</v>
      </c>
      <c r="P249" s="5">
        <v>160213</v>
      </c>
      <c r="Q249" s="6" t="s">
        <v>434</v>
      </c>
      <c r="R249" s="1" t="s">
        <v>32</v>
      </c>
      <c r="S249" s="7" t="str">
        <f>IF(J249="Não aplicável","N.A.",VLOOKUP(J249,'[1]Lista ONU'!$A$2:$D$2271,3))</f>
        <v>N.A.</v>
      </c>
      <c r="T249" s="7" t="str">
        <f>IF(J249="Não aplicável","N.A.",VLOOKUP(J249,'[1]Lista ONU'!$A$2:$D$2271,4))</f>
        <v>N.A.</v>
      </c>
    </row>
    <row r="250" spans="1:20" x14ac:dyDescent="0.25">
      <c r="A250" s="4" t="s">
        <v>56</v>
      </c>
      <c r="B250" s="1" t="s">
        <v>656</v>
      </c>
      <c r="C250" s="1" t="s">
        <v>22</v>
      </c>
      <c r="D250" s="1" t="s">
        <v>59</v>
      </c>
      <c r="E250" s="5" t="s">
        <v>24</v>
      </c>
      <c r="F250" s="5" t="s">
        <v>60</v>
      </c>
      <c r="G250" s="1" t="s">
        <v>73</v>
      </c>
      <c r="H250" s="5" t="s">
        <v>62</v>
      </c>
      <c r="I250" s="1">
        <v>90</v>
      </c>
      <c r="J250" s="5">
        <v>3077</v>
      </c>
      <c r="K250" s="5" t="s">
        <v>28</v>
      </c>
      <c r="L250" s="1" t="s">
        <v>132</v>
      </c>
      <c r="M250" s="1" t="s">
        <v>133</v>
      </c>
      <c r="N250" s="1">
        <v>801894</v>
      </c>
      <c r="O250" s="1" t="s">
        <v>213</v>
      </c>
      <c r="P250" s="3">
        <v>130899</v>
      </c>
      <c r="Q250" s="6" t="s">
        <v>356</v>
      </c>
      <c r="R250" s="1" t="s">
        <v>32</v>
      </c>
      <c r="S250" s="7">
        <f>IF(J250="Não aplicável","N.A.",VLOOKUP(J250,'[1]Lista ONU'!$A$2:$D$2271,3))</f>
        <v>1000</v>
      </c>
      <c r="T250" s="7" t="str">
        <f>IF(J250="Não aplicável","N.A.",VLOOKUP(J250,'[1]Lista ONU'!$A$2:$D$2271,4))</f>
        <v>5 kg</v>
      </c>
    </row>
    <row r="251" spans="1:20" x14ac:dyDescent="0.25">
      <c r="A251" s="4" t="s">
        <v>128</v>
      </c>
      <c r="B251" s="1" t="s">
        <v>657</v>
      </c>
      <c r="C251" s="1" t="s">
        <v>22</v>
      </c>
      <c r="D251" s="1" t="s">
        <v>106</v>
      </c>
      <c r="E251" s="5" t="s">
        <v>228</v>
      </c>
      <c r="F251" s="5" t="s">
        <v>106</v>
      </c>
      <c r="G251" s="1" t="s">
        <v>229</v>
      </c>
      <c r="H251" s="1" t="s">
        <v>106</v>
      </c>
      <c r="I251" s="1" t="s">
        <v>106</v>
      </c>
      <c r="J251" s="1" t="s">
        <v>106</v>
      </c>
      <c r="K251" s="5" t="s">
        <v>28</v>
      </c>
      <c r="L251" s="1" t="s">
        <v>132</v>
      </c>
      <c r="M251" s="1" t="s">
        <v>110</v>
      </c>
      <c r="N251" s="1">
        <v>801897</v>
      </c>
      <c r="O251" s="1" t="s">
        <v>134</v>
      </c>
      <c r="P251" s="1">
        <v>150202</v>
      </c>
      <c r="Q251" s="6" t="s">
        <v>135</v>
      </c>
      <c r="R251" s="1" t="s">
        <v>32</v>
      </c>
      <c r="S251" s="7" t="str">
        <f>IF(J251="Não aplicável","N.A.",VLOOKUP(J251,'[1]Lista ONU'!$A$2:$D$2271,3))</f>
        <v>N.A.</v>
      </c>
      <c r="T251" s="7" t="str">
        <f>IF(J251="Não aplicável","N.A.",VLOOKUP(J251,'[1]Lista ONU'!$A$2:$D$2271,4))</f>
        <v>N.A.</v>
      </c>
    </row>
    <row r="252" spans="1:20" x14ac:dyDescent="0.25">
      <c r="A252" s="4" t="s">
        <v>128</v>
      </c>
      <c r="B252" s="1" t="s">
        <v>658</v>
      </c>
      <c r="C252" s="1" t="s">
        <v>22</v>
      </c>
      <c r="D252" s="1" t="s">
        <v>106</v>
      </c>
      <c r="E252" s="5" t="s">
        <v>228</v>
      </c>
      <c r="F252" s="5" t="s">
        <v>106</v>
      </c>
      <c r="G252" s="1" t="s">
        <v>229</v>
      </c>
      <c r="H252" s="1" t="s">
        <v>106</v>
      </c>
      <c r="I252" s="1" t="s">
        <v>106</v>
      </c>
      <c r="J252" s="1" t="s">
        <v>106</v>
      </c>
      <c r="K252" s="5" t="s">
        <v>28</v>
      </c>
      <c r="L252" s="1" t="s">
        <v>132</v>
      </c>
      <c r="M252" s="1" t="s">
        <v>110</v>
      </c>
      <c r="N252" s="1">
        <v>801897</v>
      </c>
      <c r="O252" s="1" t="s">
        <v>134</v>
      </c>
      <c r="P252" s="1">
        <v>150202</v>
      </c>
      <c r="Q252" s="6" t="s">
        <v>135</v>
      </c>
      <c r="R252" s="1" t="s">
        <v>32</v>
      </c>
      <c r="S252" s="7" t="str">
        <f>IF(J252="Não aplicável","N.A.",VLOOKUP(J252,'[1]Lista ONU'!$A$2:$D$2271,3))</f>
        <v>N.A.</v>
      </c>
      <c r="T252" s="7" t="str">
        <f>IF(J252="Não aplicável","N.A.",VLOOKUP(J252,'[1]Lista ONU'!$A$2:$D$2271,4))</f>
        <v>N.A.</v>
      </c>
    </row>
    <row r="253" spans="1:20" x14ac:dyDescent="0.25">
      <c r="A253" s="4" t="s">
        <v>128</v>
      </c>
      <c r="B253" s="1" t="s">
        <v>659</v>
      </c>
      <c r="C253" s="1" t="s">
        <v>22</v>
      </c>
      <c r="D253" s="1" t="s">
        <v>137</v>
      </c>
      <c r="E253" s="5" t="s">
        <v>24</v>
      </c>
      <c r="F253" s="5" t="s">
        <v>106</v>
      </c>
      <c r="G253" s="1" t="s">
        <v>138</v>
      </c>
      <c r="H253" s="5" t="s">
        <v>62</v>
      </c>
      <c r="I253" s="5">
        <v>90</v>
      </c>
      <c r="J253" s="5">
        <v>3077</v>
      </c>
      <c r="K253" s="5" t="s">
        <v>28</v>
      </c>
      <c r="L253" s="1" t="s">
        <v>132</v>
      </c>
      <c r="M253" s="1" t="s">
        <v>133</v>
      </c>
      <c r="N253" s="1">
        <v>801897</v>
      </c>
      <c r="O253" s="1" t="s">
        <v>134</v>
      </c>
      <c r="P253" s="1">
        <v>150202</v>
      </c>
      <c r="Q253" s="6" t="s">
        <v>135</v>
      </c>
      <c r="R253" s="1" t="s">
        <v>32</v>
      </c>
      <c r="S253" s="7">
        <f>IF(J253="Não aplicável","N.A.",VLOOKUP(J253,'[1]Lista ONU'!$A$2:$D$2271,3))</f>
        <v>1000</v>
      </c>
      <c r="T253" s="7" t="str">
        <f>IF(J253="Não aplicável","N.A.",VLOOKUP(J253,'[1]Lista ONU'!$A$2:$D$2271,4))</f>
        <v>5 kg</v>
      </c>
    </row>
    <row r="254" spans="1:20" x14ac:dyDescent="0.25">
      <c r="A254" s="4" t="s">
        <v>128</v>
      </c>
      <c r="B254" s="1" t="s">
        <v>660</v>
      </c>
      <c r="C254" s="1" t="s">
        <v>22</v>
      </c>
      <c r="D254" s="1" t="s">
        <v>106</v>
      </c>
      <c r="E254" s="5" t="s">
        <v>107</v>
      </c>
      <c r="F254" s="5" t="s">
        <v>106</v>
      </c>
      <c r="G254" s="1" t="s">
        <v>661</v>
      </c>
      <c r="H254" s="1" t="s">
        <v>106</v>
      </c>
      <c r="I254" s="1" t="s">
        <v>106</v>
      </c>
      <c r="J254" s="1" t="s">
        <v>106</v>
      </c>
      <c r="K254" s="5" t="s">
        <v>28</v>
      </c>
      <c r="L254" s="1" t="s">
        <v>132</v>
      </c>
      <c r="M254" s="5" t="s">
        <v>110</v>
      </c>
      <c r="N254" s="1">
        <v>801897</v>
      </c>
      <c r="O254" s="1" t="s">
        <v>134</v>
      </c>
      <c r="P254" s="1">
        <v>150202</v>
      </c>
      <c r="Q254" s="6" t="s">
        <v>135</v>
      </c>
      <c r="R254" s="1" t="s">
        <v>32</v>
      </c>
      <c r="S254" s="7" t="str">
        <f>IF(J254="Não aplicável","N.A.",VLOOKUP(J254,'[1]Lista ONU'!$A$2:$D$2271,3))</f>
        <v>N.A.</v>
      </c>
      <c r="T254" s="7" t="str">
        <f>IF(J254="Não aplicável","N.A.",VLOOKUP(J254,'[1]Lista ONU'!$A$2:$D$2271,4))</f>
        <v>N.A.</v>
      </c>
    </row>
    <row r="255" spans="1:20" x14ac:dyDescent="0.25">
      <c r="A255" s="4" t="s">
        <v>20</v>
      </c>
      <c r="B255" s="1" t="s">
        <v>662</v>
      </c>
      <c r="C255" s="1" t="s">
        <v>22</v>
      </c>
      <c r="D255" s="1" t="s">
        <v>71</v>
      </c>
      <c r="E255" s="5" t="s">
        <v>24</v>
      </c>
      <c r="F255" s="5" t="s">
        <v>72</v>
      </c>
      <c r="G255" s="1" t="s">
        <v>73</v>
      </c>
      <c r="H255" s="5" t="s">
        <v>27</v>
      </c>
      <c r="I255" s="5">
        <v>33</v>
      </c>
      <c r="J255" s="5">
        <v>1263</v>
      </c>
      <c r="K255" s="5" t="s">
        <v>28</v>
      </c>
      <c r="L255" s="1" t="s">
        <v>74</v>
      </c>
      <c r="M255" s="1" t="s">
        <v>75</v>
      </c>
      <c r="N255" s="1">
        <v>801910</v>
      </c>
      <c r="O255" s="1" t="s">
        <v>195</v>
      </c>
      <c r="P255" s="1">
        <v>70104</v>
      </c>
      <c r="Q255" s="6" t="s">
        <v>31</v>
      </c>
      <c r="R255" s="1" t="s">
        <v>32</v>
      </c>
      <c r="S255" s="7">
        <f>IF(J255="Não aplicável","N.A.",VLOOKUP(J255,'[1]Lista ONU'!$A$2:$D$2271,3))</f>
        <v>20</v>
      </c>
      <c r="T255" s="7" t="str">
        <f>IF(J255="Não aplicável","N.A.",VLOOKUP(J255,'[1]Lista ONU'!$A$2:$D$2271,4))</f>
        <v>5 L</v>
      </c>
    </row>
    <row r="256" spans="1:20" x14ac:dyDescent="0.25">
      <c r="A256" s="4" t="s">
        <v>372</v>
      </c>
      <c r="B256" s="1" t="s">
        <v>663</v>
      </c>
      <c r="C256" s="1" t="s">
        <v>22</v>
      </c>
      <c r="D256" s="1" t="s">
        <v>106</v>
      </c>
      <c r="E256" s="5" t="s">
        <v>107</v>
      </c>
      <c r="F256" s="5" t="s">
        <v>664</v>
      </c>
      <c r="G256" s="1" t="s">
        <v>198</v>
      </c>
      <c r="H256" s="1" t="s">
        <v>106</v>
      </c>
      <c r="I256" s="1" t="s">
        <v>106</v>
      </c>
      <c r="J256" s="1" t="s">
        <v>106</v>
      </c>
      <c r="K256" s="5" t="s">
        <v>28</v>
      </c>
      <c r="L256" s="1" t="s">
        <v>109</v>
      </c>
      <c r="M256" s="1" t="s">
        <v>110</v>
      </c>
      <c r="N256" s="1">
        <v>801936</v>
      </c>
      <c r="O256" s="1" t="s">
        <v>665</v>
      </c>
      <c r="P256" s="1">
        <v>101112</v>
      </c>
      <c r="Q256" s="6" t="s">
        <v>666</v>
      </c>
      <c r="R256" s="1" t="s">
        <v>32</v>
      </c>
      <c r="S256" s="7" t="str">
        <f>IF(J256="Não aplicável","N.A.",VLOOKUP(J256,'[1]Lista ONU'!$A$2:$D$2271,3))</f>
        <v>N.A.</v>
      </c>
      <c r="T256" s="7" t="str">
        <f>IF(J256="Não aplicável","N.A.",VLOOKUP(J256,'[1]Lista ONU'!$A$2:$D$2271,4))</f>
        <v>N.A.</v>
      </c>
    </row>
    <row r="257" spans="1:20" x14ac:dyDescent="0.25">
      <c r="A257" s="4" t="s">
        <v>372</v>
      </c>
      <c r="B257" s="1" t="s">
        <v>667</v>
      </c>
      <c r="C257" s="1" t="s">
        <v>22</v>
      </c>
      <c r="D257" s="1" t="s">
        <v>106</v>
      </c>
      <c r="E257" s="5" t="s">
        <v>107</v>
      </c>
      <c r="F257" s="5" t="s">
        <v>25</v>
      </c>
      <c r="G257" s="1" t="s">
        <v>198</v>
      </c>
      <c r="H257" s="1" t="s">
        <v>106</v>
      </c>
      <c r="I257" s="1" t="s">
        <v>106</v>
      </c>
      <c r="J257" s="1" t="s">
        <v>106</v>
      </c>
      <c r="K257" s="5" t="s">
        <v>28</v>
      </c>
      <c r="L257" s="1" t="s">
        <v>109</v>
      </c>
      <c r="M257" s="1" t="s">
        <v>110</v>
      </c>
      <c r="N257" s="1">
        <v>801936</v>
      </c>
      <c r="O257" s="1" t="s">
        <v>665</v>
      </c>
      <c r="P257" s="1">
        <v>101112</v>
      </c>
      <c r="Q257" s="6" t="s">
        <v>666</v>
      </c>
      <c r="R257" s="1" t="s">
        <v>32</v>
      </c>
      <c r="S257" s="7" t="str">
        <f>IF(J257="Não aplicável","N.A.",VLOOKUP(J257,'[1]Lista ONU'!$A$2:$D$2271,3))</f>
        <v>N.A.</v>
      </c>
      <c r="T257" s="7" t="str">
        <f>IF(J257="Não aplicável","N.A.",VLOOKUP(J257,'[1]Lista ONU'!$A$2:$D$2271,4))</f>
        <v>N.A.</v>
      </c>
    </row>
    <row r="258" spans="1:20" x14ac:dyDescent="0.25">
      <c r="A258" s="4" t="s">
        <v>372</v>
      </c>
      <c r="B258" s="1" t="s">
        <v>668</v>
      </c>
      <c r="C258" s="1" t="s">
        <v>22</v>
      </c>
      <c r="D258" s="1" t="s">
        <v>106</v>
      </c>
      <c r="E258" s="5" t="s">
        <v>107</v>
      </c>
      <c r="F258" s="5" t="s">
        <v>25</v>
      </c>
      <c r="G258" s="1" t="s">
        <v>198</v>
      </c>
      <c r="H258" s="1" t="s">
        <v>106</v>
      </c>
      <c r="I258" s="1" t="s">
        <v>106</v>
      </c>
      <c r="J258" s="1" t="s">
        <v>106</v>
      </c>
      <c r="K258" s="5" t="s">
        <v>28</v>
      </c>
      <c r="L258" s="1" t="s">
        <v>109</v>
      </c>
      <c r="M258" s="1" t="s">
        <v>110</v>
      </c>
      <c r="N258" s="1">
        <v>801936</v>
      </c>
      <c r="O258" s="1" t="s">
        <v>665</v>
      </c>
      <c r="P258" s="1">
        <v>101112</v>
      </c>
      <c r="Q258" s="6" t="s">
        <v>666</v>
      </c>
      <c r="R258" s="1" t="s">
        <v>32</v>
      </c>
      <c r="S258" s="7" t="str">
        <f>IF(J258="Não aplicável","N.A.",VLOOKUP(J258,'[1]Lista ONU'!$A$2:$D$2271,3))</f>
        <v>N.A.</v>
      </c>
      <c r="T258" s="7" t="str">
        <f>IF(J258="Não aplicável","N.A.",VLOOKUP(J258,'[1]Lista ONU'!$A$2:$D$2271,4))</f>
        <v>N.A.</v>
      </c>
    </row>
    <row r="259" spans="1:20" x14ac:dyDescent="0.25">
      <c r="A259" s="4" t="s">
        <v>372</v>
      </c>
      <c r="B259" s="1" t="s">
        <v>669</v>
      </c>
      <c r="C259" s="1" t="s">
        <v>22</v>
      </c>
      <c r="D259" s="1" t="s">
        <v>106</v>
      </c>
      <c r="E259" s="5" t="s">
        <v>107</v>
      </c>
      <c r="F259" s="5" t="s">
        <v>25</v>
      </c>
      <c r="G259" s="1" t="s">
        <v>198</v>
      </c>
      <c r="H259" s="1" t="s">
        <v>106</v>
      </c>
      <c r="I259" s="1" t="s">
        <v>106</v>
      </c>
      <c r="J259" s="1" t="s">
        <v>106</v>
      </c>
      <c r="K259" s="5" t="s">
        <v>28</v>
      </c>
      <c r="L259" s="1" t="s">
        <v>109</v>
      </c>
      <c r="M259" s="1" t="s">
        <v>110</v>
      </c>
      <c r="N259" s="1">
        <v>801936</v>
      </c>
      <c r="O259" s="1" t="s">
        <v>665</v>
      </c>
      <c r="P259" s="1">
        <v>101112</v>
      </c>
      <c r="Q259" s="6" t="s">
        <v>666</v>
      </c>
      <c r="R259" s="1" t="s">
        <v>32</v>
      </c>
      <c r="S259" s="7" t="str">
        <f>IF(J259="Não aplicável","N.A.",VLOOKUP(J259,'[1]Lista ONU'!$A$2:$D$2271,3))</f>
        <v>N.A.</v>
      </c>
      <c r="T259" s="7" t="str">
        <f>IF(J259="Não aplicável","N.A.",VLOOKUP(J259,'[1]Lista ONU'!$A$2:$D$2271,4))</f>
        <v>N.A.</v>
      </c>
    </row>
  </sheetData>
  <autoFilter ref="A1:T259" xr:uid="{00000000-0001-0000-0000-000000000000}"/>
  <pageMargins left="0.7" right="0.7" top="0.75" bottom="0.75" header="0.3" footer="0.3"/>
  <headerFooter>
    <oddFooter>&amp;R_x000D_&amp;1#&amp;"Aptos"&amp;10&amp;K000000 Classificação: Direcionado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42DE-64AF-4BCF-94A9-89662F490DDC}">
  <dimension ref="A1:C11"/>
  <sheetViews>
    <sheetView workbookViewId="0">
      <selection activeCell="A10" sqref="A10"/>
    </sheetView>
  </sheetViews>
  <sheetFormatPr defaultRowHeight="15" x14ac:dyDescent="0.25"/>
  <cols>
    <col min="1" max="1" width="31.42578125" bestFit="1" customWidth="1"/>
  </cols>
  <sheetData>
    <row r="1" spans="1:3" x14ac:dyDescent="0.25">
      <c r="A1" s="1" t="s">
        <v>7</v>
      </c>
    </row>
    <row r="2" spans="1:3" x14ac:dyDescent="0.25">
      <c r="A2" s="1" t="s">
        <v>186</v>
      </c>
      <c r="B2" t="s">
        <v>670</v>
      </c>
      <c r="C2" t="s">
        <v>671</v>
      </c>
    </row>
    <row r="3" spans="1:3" x14ac:dyDescent="0.25">
      <c r="A3" s="1" t="s">
        <v>328</v>
      </c>
      <c r="B3" t="s">
        <v>670</v>
      </c>
      <c r="C3" t="s">
        <v>672</v>
      </c>
    </row>
    <row r="4" spans="1:3" x14ac:dyDescent="0.25">
      <c r="A4" s="5" t="s">
        <v>27</v>
      </c>
      <c r="B4" t="s">
        <v>670</v>
      </c>
      <c r="C4" t="s">
        <v>673</v>
      </c>
    </row>
    <row r="5" spans="1:3" x14ac:dyDescent="0.25">
      <c r="A5" s="5" t="s">
        <v>171</v>
      </c>
      <c r="B5" t="s">
        <v>670</v>
      </c>
      <c r="C5" t="s">
        <v>674</v>
      </c>
    </row>
    <row r="6" spans="1:3" x14ac:dyDescent="0.25">
      <c r="A6" s="1" t="s">
        <v>466</v>
      </c>
      <c r="B6" t="s">
        <v>670</v>
      </c>
      <c r="C6" t="s">
        <v>675</v>
      </c>
    </row>
    <row r="7" spans="1:3" x14ac:dyDescent="0.25">
      <c r="A7" s="5" t="s">
        <v>99</v>
      </c>
      <c r="B7" t="s">
        <v>670</v>
      </c>
      <c r="C7" t="s">
        <v>676</v>
      </c>
    </row>
    <row r="8" spans="1:3" x14ac:dyDescent="0.25">
      <c r="A8" s="5" t="s">
        <v>37</v>
      </c>
      <c r="B8" t="s">
        <v>670</v>
      </c>
      <c r="C8" t="s">
        <v>677</v>
      </c>
    </row>
    <row r="9" spans="1:3" x14ac:dyDescent="0.25">
      <c r="A9" s="5" t="s">
        <v>62</v>
      </c>
      <c r="B9" t="s">
        <v>670</v>
      </c>
      <c r="C9" t="s">
        <v>678</v>
      </c>
    </row>
    <row r="10" spans="1:3" x14ac:dyDescent="0.25">
      <c r="A10" s="5" t="s">
        <v>148</v>
      </c>
      <c r="B10" t="s">
        <v>670</v>
      </c>
      <c r="C10" t="s">
        <v>679</v>
      </c>
    </row>
    <row r="11" spans="1:3" x14ac:dyDescent="0.25">
      <c r="A11" s="1" t="s">
        <v>106</v>
      </c>
    </row>
  </sheetData>
  <autoFilter ref="A1:A11" xr:uid="{99A842DE-64AF-4BCF-94A9-89662F490DDC}">
    <sortState xmlns:xlrd2="http://schemas.microsoft.com/office/spreadsheetml/2017/richdata2" ref="A2:A11">
      <sortCondition ref="A1:A11"/>
    </sortState>
  </autoFilter>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723fd9ce-6d6d-415e-88a7-385d6d41dc16}" enabled="1" method="Privileged" siteId="{97ce2340-9c1d-45b1-a835-7ea811b6fe9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HENRIQUE MACEDO BAIAO</dc:creator>
  <cp:lastModifiedBy>FLAVIO HENRIQUE MACEDO BAIAO</cp:lastModifiedBy>
  <dcterms:created xsi:type="dcterms:W3CDTF">2015-06-05T18:19:34Z</dcterms:created>
  <dcterms:modified xsi:type="dcterms:W3CDTF">2026-04-10T16:33:20Z</dcterms:modified>
</cp:coreProperties>
</file>